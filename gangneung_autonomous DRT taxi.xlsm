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38d267aab82413e"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24226"/>
  <mc:AlternateContent xmlns:mc="http://schemas.openxmlformats.org/markup-compatibility/2006">
    <mc:Choice Requires="x15">
      <x15ac:absPath xmlns:x15ac="http://schemas.microsoft.com/office/spreadsheetml/2010/11/ac" url="/Users/hyorimlightyun/Desktop/"/>
    </mc:Choice>
  </mc:AlternateContent>
  <xr:revisionPtr revIDLastSave="0" documentId="13_ncr:1_{C77ABAB6-9599-3A40-82C4-8C1E6AED77AC}" xr6:coauthVersionLast="47" xr6:coauthVersionMax="47" xr10:uidLastSave="{00000000-0000-0000-0000-000000000000}"/>
  <bookViews>
    <workbookView xWindow="0" yWindow="500" windowWidth="34160" windowHeight="19540" tabRatio="705" activeTab="8" xr2:uid="{00000000-000D-0000-FFFF-FFFF00000000}"/>
  </bookViews>
  <sheets>
    <sheet name="About" sheetId="234" state="hidden" r:id="rId1"/>
    <sheet name="VRP Solver Console" sheetId="231" r:id="rId2"/>
    <sheet name="MultiLanguageMenuItems" sheetId="232" state="hidden" r:id="rId3"/>
    <sheet name="MultiLanguageInterface" sheetId="233" state="hidden" r:id="rId4"/>
    <sheet name="1.Locations" sheetId="250" r:id="rId5"/>
    <sheet name="2.Distances" sheetId="251" r:id="rId6"/>
    <sheet name="3.Vehicles" sheetId="252" r:id="rId7"/>
    <sheet name="4.Solution" sheetId="253" r:id="rId8"/>
    <sheet name="5.Visualization" sheetId="254" r:id="rId9"/>
  </sheets>
  <functionGroups builtInGroupCount="19"/>
  <definedNames>
    <definedName name="_xlnm._FilterDatabase" localSheetId="3" hidden="1">MultiLanguageInterface!$A$1:$G$193</definedName>
    <definedName name="_xlnm._FilterDatabase" localSheetId="2" hidden="1">MultiLanguageMenuItems!$B$1:$C$26</definedName>
    <definedName name="languag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4" i="254" l="1"/>
  <c r="X3" i="254"/>
  <c r="X2" i="254"/>
  <c r="U92" i="254"/>
  <c r="V95" i="254" s="1"/>
  <c r="U74" i="254"/>
  <c r="U62" i="254"/>
  <c r="U26" i="254"/>
  <c r="W27" i="254" s="1"/>
  <c r="U14" i="254"/>
  <c r="W12" i="254"/>
  <c r="U8" i="254"/>
  <c r="V13" i="254" s="1"/>
  <c r="V3" i="254"/>
  <c r="U2" i="254"/>
  <c r="U1" i="254"/>
  <c r="R80" i="254"/>
  <c r="R74" i="254"/>
  <c r="T79" i="254" s="1"/>
  <c r="R68" i="254"/>
  <c r="S68" i="254" s="1"/>
  <c r="T66" i="254"/>
  <c r="T62" i="254"/>
  <c r="R50" i="254"/>
  <c r="R38" i="254"/>
  <c r="R26" i="254"/>
  <c r="R20" i="254"/>
  <c r="R14" i="254"/>
  <c r="T14" i="254" s="1"/>
  <c r="T8" i="254"/>
  <c r="R8" i="254"/>
  <c r="T7" i="254"/>
  <c r="R2" i="254"/>
  <c r="S2" i="254" s="1"/>
  <c r="R1" i="254"/>
  <c r="O86" i="254"/>
  <c r="O80" i="254"/>
  <c r="O68" i="254"/>
  <c r="O50" i="254"/>
  <c r="O26" i="254"/>
  <c r="Q2" i="254"/>
  <c r="O2" i="254"/>
  <c r="O1" i="254"/>
  <c r="AK20" i="253"/>
  <c r="AS20" i="253" s="1"/>
  <c r="AU19" i="253"/>
  <c r="AT19" i="253"/>
  <c r="AQ19" i="253"/>
  <c r="AM19" i="253"/>
  <c r="AK19" i="253"/>
  <c r="AS19" i="253" s="1"/>
  <c r="AK18" i="253"/>
  <c r="AS18" i="253" s="1"/>
  <c r="AU17" i="253"/>
  <c r="AT17" i="253"/>
  <c r="AQ17" i="253"/>
  <c r="AM17" i="253"/>
  <c r="AK17" i="253"/>
  <c r="AS17" i="253" s="1"/>
  <c r="AL16" i="253"/>
  <c r="AK16" i="253"/>
  <c r="AT16" i="253" s="1"/>
  <c r="AU15" i="253"/>
  <c r="AT15" i="253"/>
  <c r="AK15" i="253"/>
  <c r="AK14" i="253"/>
  <c r="AL14" i="253" s="1"/>
  <c r="AK13" i="253"/>
  <c r="AU13" i="253" s="1"/>
  <c r="AK12" i="253"/>
  <c r="AS12" i="253" s="1"/>
  <c r="AK11" i="253"/>
  <c r="AK10" i="253"/>
  <c r="U32" i="254" s="1"/>
  <c r="AL9" i="253"/>
  <c r="AK9" i="253"/>
  <c r="AK8" i="253"/>
  <c r="AU7" i="253"/>
  <c r="AT7" i="253"/>
  <c r="AQ7" i="253"/>
  <c r="AK7" i="253"/>
  <c r="AS6" i="253"/>
  <c r="AK6" i="253"/>
  <c r="AT6" i="253" s="1"/>
  <c r="AO5" i="253"/>
  <c r="AJ5" i="253"/>
  <c r="AK5" i="253" s="1"/>
  <c r="AM3" i="253"/>
  <c r="AO3" i="253" s="1"/>
  <c r="AB20" i="253"/>
  <c r="T20" i="253"/>
  <c r="AE20" i="253" s="1"/>
  <c r="T19" i="253"/>
  <c r="AE18" i="253"/>
  <c r="AB18" i="253"/>
  <c r="W18" i="253"/>
  <c r="T18" i="253"/>
  <c r="T17" i="253"/>
  <c r="AE16" i="253"/>
  <c r="T16" i="253"/>
  <c r="AB16" i="253" s="1"/>
  <c r="T15" i="253"/>
  <c r="R62" i="254" s="1"/>
  <c r="AB14" i="253"/>
  <c r="T14" i="253"/>
  <c r="AB13" i="253"/>
  <c r="T13" i="253"/>
  <c r="AA13" i="253" s="1"/>
  <c r="T12" i="253"/>
  <c r="AB11" i="253"/>
  <c r="AA11" i="253"/>
  <c r="T11" i="253"/>
  <c r="T10" i="253"/>
  <c r="AB9" i="253"/>
  <c r="T9" i="253"/>
  <c r="AA9" i="253" s="1"/>
  <c r="AE8" i="253"/>
  <c r="AB8" i="253"/>
  <c r="W8" i="253"/>
  <c r="T8" i="253"/>
  <c r="T7" i="253"/>
  <c r="AB7" i="253" s="1"/>
  <c r="AE6" i="253"/>
  <c r="T6" i="253"/>
  <c r="AB6" i="253" s="1"/>
  <c r="X5" i="253"/>
  <c r="S5" i="253"/>
  <c r="V3" i="253"/>
  <c r="X3" i="253" s="1"/>
  <c r="E3" i="253"/>
  <c r="G5" i="253"/>
  <c r="B5" i="253"/>
  <c r="C20" i="253"/>
  <c r="C19" i="253"/>
  <c r="J18" i="253"/>
  <c r="C18" i="253"/>
  <c r="C17" i="253"/>
  <c r="J16" i="253"/>
  <c r="C16" i="253"/>
  <c r="K15" i="253"/>
  <c r="C15" i="253"/>
  <c r="C14" i="253"/>
  <c r="C13" i="253"/>
  <c r="C12" i="253"/>
  <c r="C11" i="253"/>
  <c r="K11" i="253" s="1"/>
  <c r="C10" i="253"/>
  <c r="O32" i="254" s="1"/>
  <c r="K9" i="253"/>
  <c r="J9" i="253"/>
  <c r="C9" i="253"/>
  <c r="C8" i="253"/>
  <c r="C7" i="253"/>
  <c r="J6" i="253"/>
  <c r="F6" i="253"/>
  <c r="C6" i="253"/>
  <c r="L2" i="252"/>
  <c r="N227" i="251"/>
  <c r="M227" i="251"/>
  <c r="L227" i="251"/>
  <c r="K227" i="251"/>
  <c r="J227" i="251"/>
  <c r="I227" i="251"/>
  <c r="H227" i="251"/>
  <c r="G227" i="251"/>
  <c r="F227" i="251"/>
  <c r="E227" i="251"/>
  <c r="N211" i="251"/>
  <c r="M211" i="251"/>
  <c r="L211" i="251"/>
  <c r="K211" i="251"/>
  <c r="J211" i="251"/>
  <c r="I211" i="251"/>
  <c r="H211" i="251"/>
  <c r="G211" i="251"/>
  <c r="F211" i="251"/>
  <c r="E211" i="251"/>
  <c r="N195" i="251"/>
  <c r="M195" i="251"/>
  <c r="L195" i="251"/>
  <c r="K195" i="251"/>
  <c r="J195" i="251"/>
  <c r="I195" i="251"/>
  <c r="H195" i="251"/>
  <c r="G195" i="251"/>
  <c r="F195" i="251"/>
  <c r="E195" i="251"/>
  <c r="N179" i="251"/>
  <c r="M179" i="251"/>
  <c r="L179" i="251"/>
  <c r="K179" i="251"/>
  <c r="J179" i="251"/>
  <c r="I179" i="251"/>
  <c r="H179" i="251"/>
  <c r="G179" i="251"/>
  <c r="F179" i="251"/>
  <c r="E179" i="251"/>
  <c r="N163" i="251"/>
  <c r="M163" i="251"/>
  <c r="L163" i="251"/>
  <c r="K163" i="251"/>
  <c r="J163" i="251"/>
  <c r="I163" i="251"/>
  <c r="H163" i="251"/>
  <c r="G163" i="251"/>
  <c r="F163" i="251"/>
  <c r="E163" i="251"/>
  <c r="N147" i="251"/>
  <c r="M147" i="251"/>
  <c r="L147" i="251"/>
  <c r="K147" i="251"/>
  <c r="J147" i="251"/>
  <c r="I147" i="251"/>
  <c r="H147" i="251"/>
  <c r="G147" i="251"/>
  <c r="F147" i="251"/>
  <c r="E147" i="251"/>
  <c r="N131" i="251"/>
  <c r="M131" i="251"/>
  <c r="L131" i="251"/>
  <c r="K131" i="251"/>
  <c r="J131" i="251"/>
  <c r="I131" i="251"/>
  <c r="H131" i="251"/>
  <c r="G131" i="251"/>
  <c r="F131" i="251"/>
  <c r="E131" i="251"/>
  <c r="N115" i="251"/>
  <c r="M115" i="251"/>
  <c r="L115" i="251"/>
  <c r="K115" i="251"/>
  <c r="J115" i="251"/>
  <c r="I115" i="251"/>
  <c r="H115" i="251"/>
  <c r="G115" i="251"/>
  <c r="F115" i="251"/>
  <c r="E115" i="251"/>
  <c r="N99" i="251"/>
  <c r="M99" i="251"/>
  <c r="L99" i="251"/>
  <c r="K99" i="251"/>
  <c r="J99" i="251"/>
  <c r="I99" i="251"/>
  <c r="H99" i="251"/>
  <c r="G99" i="251"/>
  <c r="F99" i="251"/>
  <c r="E99" i="251"/>
  <c r="N83" i="251"/>
  <c r="M83" i="251"/>
  <c r="L83" i="251"/>
  <c r="K83" i="251"/>
  <c r="J83" i="251"/>
  <c r="I83" i="251"/>
  <c r="H83" i="251"/>
  <c r="G83" i="251"/>
  <c r="F83" i="251"/>
  <c r="E83" i="251"/>
  <c r="N67" i="251"/>
  <c r="M67" i="251"/>
  <c r="L67" i="251"/>
  <c r="K67" i="251"/>
  <c r="J67" i="251"/>
  <c r="I67" i="251"/>
  <c r="H67" i="251"/>
  <c r="G67" i="251"/>
  <c r="F67" i="251"/>
  <c r="E67" i="251"/>
  <c r="N51" i="251"/>
  <c r="M51" i="251"/>
  <c r="L51" i="251"/>
  <c r="K51" i="251"/>
  <c r="J51" i="251"/>
  <c r="I51" i="251"/>
  <c r="H51" i="251"/>
  <c r="G51" i="251"/>
  <c r="F51" i="251"/>
  <c r="E51" i="251"/>
  <c r="N35" i="251"/>
  <c r="M35" i="251"/>
  <c r="L35" i="251"/>
  <c r="K35" i="251"/>
  <c r="J35" i="251"/>
  <c r="I35" i="251"/>
  <c r="H35" i="251"/>
  <c r="G35" i="251"/>
  <c r="F35" i="251"/>
  <c r="E35" i="251"/>
  <c r="N19" i="251"/>
  <c r="M19" i="251"/>
  <c r="L19" i="251"/>
  <c r="K19" i="251"/>
  <c r="J19" i="251"/>
  <c r="I19" i="251"/>
  <c r="H19" i="251"/>
  <c r="G19" i="251"/>
  <c r="F19" i="251"/>
  <c r="E19" i="251"/>
  <c r="N3" i="251"/>
  <c r="M3" i="251"/>
  <c r="L3" i="251"/>
  <c r="K3" i="251"/>
  <c r="J3" i="251"/>
  <c r="I3" i="251"/>
  <c r="H3" i="251"/>
  <c r="G3" i="251"/>
  <c r="F3" i="251"/>
  <c r="E3" i="251"/>
  <c r="D26" i="231"/>
  <c r="Q31" i="254" l="1"/>
  <c r="Q35" i="254"/>
  <c r="P35" i="254"/>
  <c r="Q37" i="254"/>
  <c r="Q33" i="254"/>
  <c r="P36" i="254"/>
  <c r="P28" i="254"/>
  <c r="P30" i="254"/>
  <c r="Q28" i="254"/>
  <c r="Q27" i="254"/>
  <c r="Q90" i="254"/>
  <c r="V32" i="254"/>
  <c r="W32" i="254"/>
  <c r="W34" i="254"/>
  <c r="J14" i="253"/>
  <c r="AT12" i="253"/>
  <c r="AS11" i="253"/>
  <c r="U38" i="254"/>
  <c r="W36" i="254" s="1"/>
  <c r="AT11" i="253"/>
  <c r="AQ11" i="253"/>
  <c r="S14" i="254"/>
  <c r="O14" i="254"/>
  <c r="AL11" i="253"/>
  <c r="AQ13" i="253"/>
  <c r="P54" i="254"/>
  <c r="Q86" i="254"/>
  <c r="T10" i="254"/>
  <c r="S13" i="254"/>
  <c r="T5" i="254"/>
  <c r="T12" i="254"/>
  <c r="S38" i="254"/>
  <c r="W4" i="254"/>
  <c r="W26" i="254"/>
  <c r="V93" i="254"/>
  <c r="N20" i="253"/>
  <c r="O38" i="254"/>
  <c r="J11" i="253"/>
  <c r="W12" i="253"/>
  <c r="R44" i="254"/>
  <c r="S72" i="254"/>
  <c r="T71" i="254"/>
  <c r="W13" i="254"/>
  <c r="V12" i="254"/>
  <c r="V7" i="254"/>
  <c r="V11" i="254"/>
  <c r="V5" i="254"/>
  <c r="W17" i="254"/>
  <c r="V27" i="254"/>
  <c r="U56" i="254"/>
  <c r="W62" i="254"/>
  <c r="W93" i="254"/>
  <c r="M20" i="253"/>
  <c r="AE14" i="253"/>
  <c r="R56" i="254"/>
  <c r="AS9" i="253"/>
  <c r="AQ9" i="253"/>
  <c r="AM9" i="253"/>
  <c r="AU11" i="253"/>
  <c r="AS16" i="253"/>
  <c r="AT18" i="253"/>
  <c r="Q54" i="254"/>
  <c r="S9" i="254"/>
  <c r="S79" i="254"/>
  <c r="V8" i="254"/>
  <c r="V14" i="254"/>
  <c r="U44" i="254"/>
  <c r="W44" i="254" s="1"/>
  <c r="V62" i="254"/>
  <c r="V97" i="254"/>
  <c r="AS13" i="253"/>
  <c r="AM13" i="253"/>
  <c r="AL13" i="253"/>
  <c r="Q88" i="254"/>
  <c r="P89" i="254"/>
  <c r="Q87" i="254"/>
  <c r="T43" i="254"/>
  <c r="S39" i="254"/>
  <c r="T38" i="254"/>
  <c r="W28" i="254"/>
  <c r="W30" i="254"/>
  <c r="V29" i="254"/>
  <c r="J12" i="253"/>
  <c r="J20" i="253"/>
  <c r="AT8" i="253"/>
  <c r="U20" i="254"/>
  <c r="W22" i="254" s="1"/>
  <c r="AM11" i="253"/>
  <c r="AT13" i="253"/>
  <c r="J10" i="253"/>
  <c r="J19" i="253"/>
  <c r="AB10" i="253"/>
  <c r="R32" i="254"/>
  <c r="T27" i="254" s="1"/>
  <c r="I6" i="253"/>
  <c r="I7" i="253" s="1"/>
  <c r="I8" i="253" s="1"/>
  <c r="I9" i="253" s="1"/>
  <c r="I10" i="253" s="1"/>
  <c r="I11" i="253" s="1"/>
  <c r="I12" i="253" s="1"/>
  <c r="I13" i="253" s="1"/>
  <c r="I14" i="253" s="1"/>
  <c r="I15" i="253" s="1"/>
  <c r="I16" i="253" s="1"/>
  <c r="I17" i="253" s="1"/>
  <c r="I18" i="253" s="1"/>
  <c r="I19" i="253" s="1"/>
  <c r="I20" i="253" s="1"/>
  <c r="J8" i="253"/>
  <c r="L8" i="253" s="1"/>
  <c r="T65" i="254"/>
  <c r="S62" i="254"/>
  <c r="AA19" i="253"/>
  <c r="R86" i="254"/>
  <c r="AT9" i="253"/>
  <c r="AL12" i="253"/>
  <c r="AS15" i="253"/>
  <c r="AQ15" i="253"/>
  <c r="AM15" i="253"/>
  <c r="O8" i="254"/>
  <c r="Q7" i="254" s="1"/>
  <c r="O44" i="254"/>
  <c r="O62" i="254"/>
  <c r="S11" i="254"/>
  <c r="S64" i="254"/>
  <c r="V9" i="254"/>
  <c r="W19" i="254"/>
  <c r="W31" i="254"/>
  <c r="U68" i="254"/>
  <c r="O56" i="254"/>
  <c r="T9" i="254"/>
  <c r="W8" i="254"/>
  <c r="W14" i="254"/>
  <c r="V31" i="254"/>
  <c r="U80" i="254"/>
  <c r="W78" i="254" s="1"/>
  <c r="W97" i="254"/>
  <c r="E6" i="253"/>
  <c r="E7" i="253" s="1"/>
  <c r="E8" i="253" s="1"/>
  <c r="E9" i="253" s="1"/>
  <c r="E10" i="253" s="1"/>
  <c r="E11" i="253" s="1"/>
  <c r="E12" i="253" s="1"/>
  <c r="E13" i="253" s="1"/>
  <c r="E14" i="253" s="1"/>
  <c r="E15" i="253" s="1"/>
  <c r="E16" i="253" s="1"/>
  <c r="E17" i="253" s="1"/>
  <c r="E18" i="253" s="1"/>
  <c r="E19" i="253" s="1"/>
  <c r="E20" i="253" s="1"/>
  <c r="J15" i="253"/>
  <c r="O74" i="254"/>
  <c r="P78" i="254" s="1"/>
  <c r="K19" i="253"/>
  <c r="AS7" i="253"/>
  <c r="AM7" i="253"/>
  <c r="AL7" i="253"/>
  <c r="AU9" i="253"/>
  <c r="AL15" i="253"/>
  <c r="O20" i="254"/>
  <c r="Q29" i="254"/>
  <c r="Q26" i="254"/>
  <c r="P26" i="254"/>
  <c r="Q73" i="254"/>
  <c r="Q68" i="254"/>
  <c r="P73" i="254"/>
  <c r="P68" i="254"/>
  <c r="O92" i="254"/>
  <c r="P87" i="254" s="1"/>
  <c r="T13" i="254"/>
  <c r="T64" i="254"/>
  <c r="V10" i="254"/>
  <c r="W76" i="254"/>
  <c r="R92" i="254"/>
  <c r="W6" i="254"/>
  <c r="W10" i="254"/>
  <c r="U50" i="254"/>
  <c r="W74" i="254"/>
  <c r="AL17" i="253"/>
  <c r="AL19" i="253"/>
  <c r="U86" i="254"/>
  <c r="W89" i="254" s="1"/>
  <c r="T25" i="254"/>
  <c r="T21" i="254"/>
  <c r="S18" i="254"/>
  <c r="T20" i="254"/>
  <c r="S25" i="254"/>
  <c r="S21" i="254"/>
  <c r="S23" i="254"/>
  <c r="T19" i="254"/>
  <c r="T15" i="254"/>
  <c r="T22" i="254"/>
  <c r="S19" i="254"/>
  <c r="S15" i="254"/>
  <c r="P3" i="254"/>
  <c r="P5" i="254"/>
  <c r="Q4" i="254"/>
  <c r="Q85" i="254"/>
  <c r="S17" i="254"/>
  <c r="S29" i="254"/>
  <c r="T28" i="254"/>
  <c r="S28" i="254"/>
  <c r="T30" i="254"/>
  <c r="T26" i="254"/>
  <c r="S26" i="254"/>
  <c r="P2" i="254"/>
  <c r="S6" i="254"/>
  <c r="T18" i="254"/>
  <c r="S27" i="254"/>
  <c r="S46" i="254"/>
  <c r="S70" i="254"/>
  <c r="W24" i="254"/>
  <c r="W20" i="254"/>
  <c r="V24" i="254"/>
  <c r="V20" i="254"/>
  <c r="W16" i="254"/>
  <c r="V34" i="254"/>
  <c r="V46" i="254"/>
  <c r="W48" i="254"/>
  <c r="P66" i="254"/>
  <c r="P62" i="254"/>
  <c r="P85" i="254"/>
  <c r="P81" i="254"/>
  <c r="Q84" i="254"/>
  <c r="Q80" i="254"/>
  <c r="Q82" i="254"/>
  <c r="P82" i="254"/>
  <c r="Q56" i="254"/>
  <c r="P56" i="254"/>
  <c r="Q55" i="254"/>
  <c r="Q51" i="254"/>
  <c r="P55" i="254"/>
  <c r="P51" i="254"/>
  <c r="P53" i="254"/>
  <c r="P45" i="254"/>
  <c r="Q52" i="254"/>
  <c r="Q81" i="254"/>
  <c r="S77" i="254"/>
  <c r="S76" i="254"/>
  <c r="T76" i="254"/>
  <c r="T78" i="254"/>
  <c r="T74" i="254"/>
  <c r="S78" i="254"/>
  <c r="S74" i="254"/>
  <c r="W86" i="254"/>
  <c r="V91" i="254"/>
  <c r="V87" i="254"/>
  <c r="V88" i="254"/>
  <c r="W84" i="254"/>
  <c r="W88" i="254"/>
  <c r="P50" i="254"/>
  <c r="P65" i="254"/>
  <c r="Q75" i="254"/>
  <c r="P83" i="254"/>
  <c r="T23" i="254"/>
  <c r="S75" i="254"/>
  <c r="W15" i="254"/>
  <c r="W25" i="254"/>
  <c r="V38" i="254"/>
  <c r="P80" i="254"/>
  <c r="T17" i="254"/>
  <c r="Q5" i="254"/>
  <c r="S7" i="254"/>
  <c r="S3" i="254"/>
  <c r="T6" i="254"/>
  <c r="T2" i="254"/>
  <c r="T4" i="254"/>
  <c r="S4" i="254"/>
  <c r="S22" i="254"/>
  <c r="S31" i="254"/>
  <c r="V73" i="254"/>
  <c r="W70" i="254"/>
  <c r="W69" i="254"/>
  <c r="P18" i="254"/>
  <c r="P37" i="254"/>
  <c r="P33" i="254"/>
  <c r="Q36" i="254"/>
  <c r="Q32" i="254"/>
  <c r="Q34" i="254"/>
  <c r="P34" i="254"/>
  <c r="Q30" i="254"/>
  <c r="Q50" i="254"/>
  <c r="P76" i="254"/>
  <c r="Q83" i="254"/>
  <c r="T3" i="254"/>
  <c r="S16" i="254"/>
  <c r="S24" i="254"/>
  <c r="T75" i="254"/>
  <c r="V16" i="254"/>
  <c r="W35" i="254"/>
  <c r="W65" i="254"/>
  <c r="Q77" i="254"/>
  <c r="S20" i="254"/>
  <c r="Q64" i="254"/>
  <c r="T50" i="254"/>
  <c r="S50" i="254"/>
  <c r="V36" i="254"/>
  <c r="W42" i="254"/>
  <c r="V35" i="254"/>
  <c r="V43" i="254"/>
  <c r="V39" i="254"/>
  <c r="W38" i="254"/>
  <c r="W37" i="254"/>
  <c r="W33" i="254"/>
  <c r="W40" i="254"/>
  <c r="V37" i="254"/>
  <c r="V33" i="254"/>
  <c r="P32" i="254"/>
  <c r="P52" i="254"/>
  <c r="Q76" i="254"/>
  <c r="P84" i="254"/>
  <c r="S5" i="254"/>
  <c r="T16" i="254"/>
  <c r="T24" i="254"/>
  <c r="T73" i="254"/>
  <c r="T69" i="254"/>
  <c r="S66" i="254"/>
  <c r="T72" i="254"/>
  <c r="T68" i="254"/>
  <c r="S73" i="254"/>
  <c r="S69" i="254"/>
  <c r="S65" i="254"/>
  <c r="S71" i="254"/>
  <c r="T67" i="254"/>
  <c r="T63" i="254"/>
  <c r="T70" i="254"/>
  <c r="S67" i="254"/>
  <c r="S63" i="254"/>
  <c r="T77" i="254"/>
  <c r="V18" i="254"/>
  <c r="Q89" i="254"/>
  <c r="T11" i="254"/>
  <c r="T33" i="254"/>
  <c r="T37" i="254"/>
  <c r="W3" i="254"/>
  <c r="W7" i="254"/>
  <c r="W29" i="254"/>
  <c r="W51" i="254"/>
  <c r="W55" i="254"/>
  <c r="V92" i="254"/>
  <c r="V96" i="254"/>
  <c r="W95" i="254"/>
  <c r="Q23" i="254"/>
  <c r="P27" i="254"/>
  <c r="P31" i="254"/>
  <c r="P38" i="254"/>
  <c r="Q71" i="254"/>
  <c r="P75" i="254"/>
  <c r="P79" i="254"/>
  <c r="P86" i="254"/>
  <c r="P90" i="254"/>
  <c r="Q93" i="254"/>
  <c r="Q97" i="254"/>
  <c r="S8" i="254"/>
  <c r="S12" i="254"/>
  <c r="S34" i="254"/>
  <c r="T41" i="254"/>
  <c r="S45" i="254"/>
  <c r="S49" i="254"/>
  <c r="S93" i="254"/>
  <c r="S97" i="254"/>
  <c r="V4" i="254"/>
  <c r="W11" i="254"/>
  <c r="V26" i="254"/>
  <c r="V30" i="254"/>
  <c r="W59" i="254"/>
  <c r="V63" i="254"/>
  <c r="V67" i="254"/>
  <c r="V74" i="254"/>
  <c r="W92" i="254"/>
  <c r="W96" i="254"/>
  <c r="T35" i="254"/>
  <c r="V94" i="254"/>
  <c r="Q21" i="254"/>
  <c r="P29" i="254"/>
  <c r="Q69" i="254"/>
  <c r="P77" i="254"/>
  <c r="P88" i="254"/>
  <c r="S10" i="254"/>
  <c r="S32" i="254"/>
  <c r="S36" i="254"/>
  <c r="S80" i="254"/>
  <c r="S95" i="254"/>
  <c r="V2" i="254"/>
  <c r="V6" i="254"/>
  <c r="W9" i="254"/>
  <c r="V28" i="254"/>
  <c r="W57" i="254"/>
  <c r="V65" i="254"/>
  <c r="W94" i="254"/>
  <c r="W5" i="254"/>
  <c r="T32" i="254"/>
  <c r="T80" i="254"/>
  <c r="W2" i="254"/>
  <c r="W50" i="254"/>
  <c r="L9" i="253"/>
  <c r="L10" i="253" s="1"/>
  <c r="K17" i="253"/>
  <c r="AE11" i="253"/>
  <c r="W11" i="253"/>
  <c r="AC11" i="253"/>
  <c r="AD11" i="253"/>
  <c r="V11" i="253"/>
  <c r="U11" i="253"/>
  <c r="Z11" i="253"/>
  <c r="AE12" i="253"/>
  <c r="AA20" i="253"/>
  <c r="Z20" i="253"/>
  <c r="AD20" i="253"/>
  <c r="V20" i="253"/>
  <c r="AC20" i="253"/>
  <c r="U20" i="253"/>
  <c r="AU6" i="253"/>
  <c r="AM6" i="253"/>
  <c r="AV6" i="253"/>
  <c r="AN6" i="253"/>
  <c r="AR6" i="253"/>
  <c r="AQ6" i="253"/>
  <c r="AS8" i="253"/>
  <c r="AT14" i="253"/>
  <c r="M19" i="253"/>
  <c r="AA8" i="253"/>
  <c r="Z8" i="253"/>
  <c r="AD8" i="253"/>
  <c r="V8" i="253"/>
  <c r="AC8" i="253"/>
  <c r="U8" i="253"/>
  <c r="AE13" i="253"/>
  <c r="W13" i="253"/>
  <c r="AC13" i="253"/>
  <c r="AD13" i="253"/>
  <c r="V13" i="253"/>
  <c r="U13" i="253"/>
  <c r="Z13" i="253"/>
  <c r="W20" i="253"/>
  <c r="AL6" i="253"/>
  <c r="AU16" i="253"/>
  <c r="AM16" i="253"/>
  <c r="AV16" i="253"/>
  <c r="AN16" i="253"/>
  <c r="AO16" i="253" s="1"/>
  <c r="AP16" i="253" s="1"/>
  <c r="AR16" i="253"/>
  <c r="AQ16" i="253"/>
  <c r="AE15" i="253"/>
  <c r="W15" i="253"/>
  <c r="AC15" i="253"/>
  <c r="AD15" i="253"/>
  <c r="V15" i="253"/>
  <c r="U15" i="253"/>
  <c r="Z15" i="253"/>
  <c r="AM10" i="253"/>
  <c r="AV10" i="253"/>
  <c r="AN10" i="253"/>
  <c r="AO10" i="253" s="1"/>
  <c r="AP10" i="253" s="1"/>
  <c r="AU10" i="253"/>
  <c r="AR10" i="253"/>
  <c r="AQ10" i="253"/>
  <c r="AE17" i="253"/>
  <c r="W17" i="253"/>
  <c r="AC17" i="253"/>
  <c r="U17" i="253"/>
  <c r="AD17" i="253"/>
  <c r="V17" i="253"/>
  <c r="Z17" i="253"/>
  <c r="AL10" i="253"/>
  <c r="AE7" i="253"/>
  <c r="W7" i="253"/>
  <c r="AD7" i="253"/>
  <c r="V7" i="253"/>
  <c r="AC7" i="253"/>
  <c r="Z7" i="253"/>
  <c r="W10" i="253"/>
  <c r="AA15" i="253"/>
  <c r="AU8" i="253"/>
  <c r="AM8" i="253"/>
  <c r="AV8" i="253"/>
  <c r="AN8" i="253"/>
  <c r="AO8" i="253" s="1"/>
  <c r="AP8" i="253" s="1"/>
  <c r="AR8" i="253"/>
  <c r="AQ8" i="253"/>
  <c r="AS10" i="253"/>
  <c r="L7" i="253"/>
  <c r="D7" i="253"/>
  <c r="D8" i="253" s="1"/>
  <c r="D9" i="253" s="1"/>
  <c r="D10" i="253" s="1"/>
  <c r="D11" i="253" s="1"/>
  <c r="D12" i="253" s="1"/>
  <c r="D13" i="253" s="1"/>
  <c r="D14" i="253" s="1"/>
  <c r="D15" i="253" s="1"/>
  <c r="D16" i="253" s="1"/>
  <c r="D17" i="253" s="1"/>
  <c r="D18" i="253" s="1"/>
  <c r="D19" i="253" s="1"/>
  <c r="D20" i="253" s="1"/>
  <c r="AL20" i="253"/>
  <c r="U7" i="253"/>
  <c r="AA14" i="253"/>
  <c r="Z14" i="253"/>
  <c r="AD14" i="253"/>
  <c r="V14" i="253"/>
  <c r="AC14" i="253"/>
  <c r="U14" i="253"/>
  <c r="AB15" i="253"/>
  <c r="AA17" i="253"/>
  <c r="AA6" i="253"/>
  <c r="Z6" i="253"/>
  <c r="AD6" i="253"/>
  <c r="V6" i="253"/>
  <c r="AC6" i="253"/>
  <c r="U6" i="253"/>
  <c r="W14" i="253"/>
  <c r="AA16" i="253"/>
  <c r="Z16" i="253"/>
  <c r="AD16" i="253"/>
  <c r="V16" i="253"/>
  <c r="AC16" i="253"/>
  <c r="U16" i="253"/>
  <c r="AB17" i="253"/>
  <c r="AO20" i="253"/>
  <c r="AP20" i="253" s="1"/>
  <c r="AO18" i="253"/>
  <c r="AP18" i="253" s="1"/>
  <c r="AO6" i="253"/>
  <c r="AP6" i="253" s="1"/>
  <c r="AU5" i="253"/>
  <c r="AV5" i="253" s="1"/>
  <c r="AL8" i="253"/>
  <c r="AT10" i="253"/>
  <c r="AU18" i="253"/>
  <c r="AM18" i="253"/>
  <c r="AV18" i="253"/>
  <c r="AN18" i="253"/>
  <c r="AR18" i="253"/>
  <c r="AQ18" i="253"/>
  <c r="AA10" i="253"/>
  <c r="Z10" i="253"/>
  <c r="AD10" i="253"/>
  <c r="V10" i="253"/>
  <c r="AC10" i="253"/>
  <c r="U10" i="253"/>
  <c r="AU20" i="253"/>
  <c r="AV20" i="253"/>
  <c r="AN20" i="253"/>
  <c r="AM20" i="253"/>
  <c r="AR20" i="253"/>
  <c r="AQ20" i="253"/>
  <c r="T5" i="253"/>
  <c r="AA12" i="253"/>
  <c r="Z12" i="253"/>
  <c r="AD12" i="253"/>
  <c r="V12" i="253"/>
  <c r="AC12" i="253"/>
  <c r="U12" i="253"/>
  <c r="AE19" i="253"/>
  <c r="W19" i="253"/>
  <c r="U19" i="253"/>
  <c r="AD19" i="253"/>
  <c r="V19" i="253"/>
  <c r="AC19" i="253"/>
  <c r="Z19" i="253"/>
  <c r="AU14" i="253"/>
  <c r="AM14" i="253"/>
  <c r="AV14" i="253"/>
  <c r="AN14" i="253"/>
  <c r="AO14" i="253" s="1"/>
  <c r="AP14" i="253" s="1"/>
  <c r="AR14" i="253"/>
  <c r="AQ14" i="253"/>
  <c r="J13" i="253"/>
  <c r="J7" i="253"/>
  <c r="K13" i="253"/>
  <c r="C5" i="253"/>
  <c r="K7" i="253"/>
  <c r="J17" i="253"/>
  <c r="W6" i="253"/>
  <c r="AA7" i="253"/>
  <c r="AE9" i="253"/>
  <c r="W9" i="253"/>
  <c r="AC9" i="253"/>
  <c r="AD9" i="253"/>
  <c r="V9" i="253"/>
  <c r="U9" i="253"/>
  <c r="Z9" i="253"/>
  <c r="AE10" i="253"/>
  <c r="AB12" i="253"/>
  <c r="W16" i="253"/>
  <c r="AA18" i="253"/>
  <c r="Z18" i="253"/>
  <c r="AD18" i="253"/>
  <c r="V18" i="253"/>
  <c r="AC18" i="253"/>
  <c r="U18" i="253"/>
  <c r="AB19" i="253"/>
  <c r="AU12" i="253"/>
  <c r="AM12" i="253"/>
  <c r="AV12" i="253"/>
  <c r="AN12" i="253"/>
  <c r="AO12" i="253" s="1"/>
  <c r="AP12" i="253" s="1"/>
  <c r="AR12" i="253"/>
  <c r="AQ12" i="253"/>
  <c r="AS14" i="253"/>
  <c r="AL18" i="253"/>
  <c r="AT20" i="253"/>
  <c r="K6" i="253"/>
  <c r="K8" i="253"/>
  <c r="K10" i="253"/>
  <c r="K12" i="253"/>
  <c r="K14" i="253"/>
  <c r="K16" i="253"/>
  <c r="K18" i="253"/>
  <c r="K20" i="253"/>
  <c r="D6" i="253"/>
  <c r="L6" i="253"/>
  <c r="L20" i="253"/>
  <c r="AN7" i="253"/>
  <c r="AO7" i="253" s="1"/>
  <c r="AP7" i="253" s="1"/>
  <c r="AV7" i="253"/>
  <c r="AN9" i="253"/>
  <c r="AO9" i="253" s="1"/>
  <c r="AP9" i="253" s="1"/>
  <c r="AV9" i="253"/>
  <c r="AN11" i="253"/>
  <c r="AO11" i="253" s="1"/>
  <c r="AP11" i="253" s="1"/>
  <c r="AV11" i="253"/>
  <c r="AN13" i="253"/>
  <c r="AO13" i="253" s="1"/>
  <c r="AP13" i="253" s="1"/>
  <c r="AV13" i="253"/>
  <c r="AN15" i="253"/>
  <c r="AO15" i="253" s="1"/>
  <c r="AP15" i="253" s="1"/>
  <c r="AV15" i="253"/>
  <c r="AN17" i="253"/>
  <c r="AO17" i="253" s="1"/>
  <c r="AP17" i="253" s="1"/>
  <c r="AV17" i="253"/>
  <c r="AN19" i="253"/>
  <c r="AO19" i="253" s="1"/>
  <c r="AP19" i="253" s="1"/>
  <c r="AV19" i="253"/>
  <c r="AR7" i="253"/>
  <c r="AR9" i="253"/>
  <c r="AR11" i="253"/>
  <c r="AR13" i="253"/>
  <c r="AR15" i="253"/>
  <c r="AR17" i="253"/>
  <c r="AR19" i="253"/>
  <c r="G3" i="253" l="1"/>
  <c r="B1" i="253" s="1"/>
  <c r="L11" i="253"/>
  <c r="N11" i="253" s="1"/>
  <c r="N10" i="253"/>
  <c r="T58" i="254"/>
  <c r="T56" i="254"/>
  <c r="S57" i="254"/>
  <c r="S59" i="254"/>
  <c r="T61" i="254"/>
  <c r="S61" i="254"/>
  <c r="T57" i="254"/>
  <c r="T60" i="254"/>
  <c r="S54" i="254"/>
  <c r="S60" i="254"/>
  <c r="S53" i="254"/>
  <c r="T55" i="254"/>
  <c r="S58" i="254"/>
  <c r="S51" i="254"/>
  <c r="T59" i="254"/>
  <c r="S56" i="254"/>
  <c r="T54" i="254"/>
  <c r="T51" i="254"/>
  <c r="Q13" i="254"/>
  <c r="Q16" i="254"/>
  <c r="Q17" i="254"/>
  <c r="P19" i="254"/>
  <c r="P17" i="254"/>
  <c r="P16" i="254"/>
  <c r="Q15" i="254"/>
  <c r="Q18" i="254"/>
  <c r="P15" i="254"/>
  <c r="Q19" i="254"/>
  <c r="P14" i="254"/>
  <c r="Q14" i="254"/>
  <c r="T53" i="254"/>
  <c r="P11" i="254"/>
  <c r="S55" i="254"/>
  <c r="W54" i="254"/>
  <c r="W52" i="254"/>
  <c r="V51" i="254"/>
  <c r="V53" i="254"/>
  <c r="V55" i="254"/>
  <c r="V47" i="254"/>
  <c r="V52" i="254"/>
  <c r="V50" i="254"/>
  <c r="W46" i="254"/>
  <c r="W53" i="254"/>
  <c r="V54" i="254"/>
  <c r="P61" i="254"/>
  <c r="Q67" i="254"/>
  <c r="P67" i="254"/>
  <c r="Q66" i="254"/>
  <c r="Q65" i="254"/>
  <c r="Q63" i="254"/>
  <c r="P59" i="254"/>
  <c r="Q58" i="254"/>
  <c r="Q60" i="254"/>
  <c r="P64" i="254"/>
  <c r="Q59" i="254"/>
  <c r="P58" i="254"/>
  <c r="P63" i="254"/>
  <c r="Q62" i="254"/>
  <c r="Q57" i="254"/>
  <c r="T91" i="254"/>
  <c r="T90" i="254"/>
  <c r="S90" i="254"/>
  <c r="S91" i="254"/>
  <c r="T88" i="254"/>
  <c r="S89" i="254"/>
  <c r="S86" i="254"/>
  <c r="S88" i="254"/>
  <c r="S87" i="254"/>
  <c r="T86" i="254"/>
  <c r="T81" i="254"/>
  <c r="T89" i="254"/>
  <c r="T84" i="254"/>
  <c r="S83" i="254"/>
  <c r="T85" i="254"/>
  <c r="S82" i="254"/>
  <c r="T83" i="254"/>
  <c r="S81" i="254"/>
  <c r="S84" i="254"/>
  <c r="T82" i="254"/>
  <c r="T87" i="254"/>
  <c r="S85" i="254"/>
  <c r="P57" i="254"/>
  <c r="V71" i="254"/>
  <c r="V72" i="254"/>
  <c r="W66" i="254"/>
  <c r="W63" i="254"/>
  <c r="W72" i="254"/>
  <c r="W68" i="254"/>
  <c r="V64" i="254"/>
  <c r="W67" i="254"/>
  <c r="V68" i="254"/>
  <c r="W73" i="254"/>
  <c r="V69" i="254"/>
  <c r="V70" i="254"/>
  <c r="W71" i="254"/>
  <c r="W64" i="254"/>
  <c r="V66" i="254"/>
  <c r="L12" i="253"/>
  <c r="N12" i="253" s="1"/>
  <c r="S52" i="254"/>
  <c r="T52" i="254"/>
  <c r="W49" i="254"/>
  <c r="P60" i="254"/>
  <c r="N8" i="253"/>
  <c r="Q48" i="254"/>
  <c r="P47" i="254"/>
  <c r="P44" i="254"/>
  <c r="P46" i="254"/>
  <c r="Q44" i="254"/>
  <c r="S44" i="254"/>
  <c r="T49" i="254"/>
  <c r="S48" i="254"/>
  <c r="S43" i="254"/>
  <c r="T45" i="254"/>
  <c r="T44" i="254"/>
  <c r="P8" i="254"/>
  <c r="V84" i="254"/>
  <c r="Q41" i="254"/>
  <c r="Q47" i="254"/>
  <c r="Q3" i="254"/>
  <c r="T95" i="254"/>
  <c r="S96" i="254"/>
  <c r="T94" i="254"/>
  <c r="T96" i="254"/>
  <c r="T97" i="254"/>
  <c r="S92" i="254"/>
  <c r="S94" i="254"/>
  <c r="T93" i="254"/>
  <c r="T92" i="254"/>
  <c r="S41" i="254"/>
  <c r="M18" i="253"/>
  <c r="M17" i="253" s="1"/>
  <c r="M16" i="253" s="1"/>
  <c r="M15" i="253" s="1"/>
  <c r="M14" i="253" s="1"/>
  <c r="M13" i="253" s="1"/>
  <c r="M12" i="253" s="1"/>
  <c r="M11" i="253" s="1"/>
  <c r="M10" i="253" s="1"/>
  <c r="M9" i="253" s="1"/>
  <c r="M8" i="253" s="1"/>
  <c r="M7" i="253" s="1"/>
  <c r="V76" i="254"/>
  <c r="T39" i="254"/>
  <c r="V15" i="254"/>
  <c r="P42" i="254"/>
  <c r="W77" i="254"/>
  <c r="W41" i="254"/>
  <c r="Q10" i="254"/>
  <c r="T48" i="254"/>
  <c r="V85" i="254"/>
  <c r="W90" i="254"/>
  <c r="T29" i="254"/>
  <c r="S30" i="254"/>
  <c r="Q61" i="254"/>
  <c r="Q53" i="254"/>
  <c r="Q91" i="254"/>
  <c r="Q40" i="254"/>
  <c r="Q42" i="254"/>
  <c r="P41" i="254"/>
  <c r="Q43" i="254"/>
  <c r="Q38" i="254"/>
  <c r="P43" i="254"/>
  <c r="Q39" i="254"/>
  <c r="P39" i="254"/>
  <c r="Q6" i="254"/>
  <c r="W81" i="254"/>
  <c r="P7" i="254"/>
  <c r="W47" i="254"/>
  <c r="V45" i="254"/>
  <c r="W45" i="254"/>
  <c r="P12" i="254"/>
  <c r="T47" i="254"/>
  <c r="Q46" i="254"/>
  <c r="T36" i="254"/>
  <c r="S35" i="254"/>
  <c r="S33" i="254"/>
  <c r="T34" i="254"/>
  <c r="S37" i="254"/>
  <c r="W21" i="254"/>
  <c r="W23" i="254"/>
  <c r="V23" i="254"/>
  <c r="V17" i="254"/>
  <c r="Q49" i="254"/>
  <c r="V90" i="254"/>
  <c r="Q8" i="254"/>
  <c r="W39" i="254"/>
  <c r="T46" i="254"/>
  <c r="V86" i="254"/>
  <c r="T31" i="254"/>
  <c r="P6" i="254"/>
  <c r="V89" i="254"/>
  <c r="W91" i="254"/>
  <c r="V44" i="254"/>
  <c r="W18" i="254"/>
  <c r="V21" i="254"/>
  <c r="Q74" i="254"/>
  <c r="Q72" i="254"/>
  <c r="P74" i="254"/>
  <c r="P70" i="254"/>
  <c r="P72" i="254"/>
  <c r="P71" i="254"/>
  <c r="Q70" i="254"/>
  <c r="P69" i="254"/>
  <c r="S42" i="254"/>
  <c r="V40" i="254"/>
  <c r="V42" i="254"/>
  <c r="P9" i="254"/>
  <c r="P13" i="254"/>
  <c r="P10" i="254"/>
  <c r="Q11" i="254"/>
  <c r="Q9" i="254"/>
  <c r="T40" i="254"/>
  <c r="P4" i="254"/>
  <c r="W85" i="254"/>
  <c r="W87" i="254"/>
  <c r="P48" i="254"/>
  <c r="T42" i="254"/>
  <c r="W82" i="254"/>
  <c r="V82" i="254"/>
  <c r="W80" i="254"/>
  <c r="V80" i="254"/>
  <c r="W79" i="254"/>
  <c r="V79" i="254"/>
  <c r="W75" i="254"/>
  <c r="V75" i="254"/>
  <c r="S47" i="254"/>
  <c r="P40" i="254"/>
  <c r="V78" i="254"/>
  <c r="V19" i="254"/>
  <c r="Q45" i="254"/>
  <c r="W83" i="254"/>
  <c r="Q12" i="254"/>
  <c r="V41" i="254"/>
  <c r="W43" i="254"/>
  <c r="V49" i="254"/>
  <c r="V81" i="254"/>
  <c r="V83" i="254"/>
  <c r="P49" i="254"/>
  <c r="Q78" i="254"/>
  <c r="V48" i="254"/>
  <c r="V22" i="254"/>
  <c r="V25" i="254"/>
  <c r="V77" i="254"/>
  <c r="Q95" i="254"/>
  <c r="P94" i="254"/>
  <c r="P93" i="254"/>
  <c r="Q96" i="254"/>
  <c r="P97" i="254"/>
  <c r="Q92" i="254"/>
  <c r="P96" i="254"/>
  <c r="P95" i="254"/>
  <c r="P92" i="254"/>
  <c r="Q94" i="254"/>
  <c r="Q25" i="254"/>
  <c r="P22" i="254"/>
  <c r="P21" i="254"/>
  <c r="Q24" i="254"/>
  <c r="P25" i="254"/>
  <c r="P24" i="254"/>
  <c r="P23" i="254"/>
  <c r="P20" i="254"/>
  <c r="Q22" i="254"/>
  <c r="Q20" i="254"/>
  <c r="P91" i="254"/>
  <c r="W61" i="254"/>
  <c r="W58" i="254"/>
  <c r="V58" i="254"/>
  <c r="V60" i="254"/>
  <c r="V59" i="254"/>
  <c r="W56" i="254"/>
  <c r="V57" i="254"/>
  <c r="W60" i="254"/>
  <c r="V56" i="254"/>
  <c r="V61" i="254"/>
  <c r="S40" i="254"/>
  <c r="Q79" i="254"/>
  <c r="AD5" i="253"/>
  <c r="AE5" i="253" s="1"/>
  <c r="X14" i="253"/>
  <c r="Y14" i="253" s="1"/>
  <c r="X7" i="253"/>
  <c r="Y7" i="253" s="1"/>
  <c r="X12" i="253"/>
  <c r="Y12" i="253" s="1"/>
  <c r="X19" i="253"/>
  <c r="Y19" i="253" s="1"/>
  <c r="X10" i="253"/>
  <c r="Y10" i="253" s="1"/>
  <c r="X17" i="253"/>
  <c r="Y17" i="253" s="1"/>
  <c r="X15" i="253"/>
  <c r="Y15" i="253" s="1"/>
  <c r="X20" i="253"/>
  <c r="Y20" i="253" s="1"/>
  <c r="X13" i="253"/>
  <c r="Y13" i="253" s="1"/>
  <c r="X8" i="253"/>
  <c r="Y8" i="253" s="1"/>
  <c r="X18" i="253"/>
  <c r="Y18" i="253" s="1"/>
  <c r="X11" i="253"/>
  <c r="Y11" i="253" s="1"/>
  <c r="X16" i="253"/>
  <c r="Y16" i="253" s="1"/>
  <c r="X9" i="253"/>
  <c r="Y9" i="253" s="1"/>
  <c r="X6" i="253"/>
  <c r="Y6" i="253" s="1"/>
  <c r="G6" i="253"/>
  <c r="N9" i="253" l="1"/>
  <c r="L13" i="253"/>
  <c r="H6" i="253"/>
  <c r="F7" i="253"/>
  <c r="G7" i="253" s="1"/>
  <c r="M6" i="253"/>
  <c r="N7" i="253"/>
  <c r="N6" i="253" l="1"/>
  <c r="M5" i="253"/>
  <c r="N5" i="253" s="1"/>
  <c r="H7" i="253"/>
  <c r="F8" i="253"/>
  <c r="G8" i="253" s="1"/>
  <c r="N13" i="253"/>
  <c r="L14" i="253"/>
  <c r="N14" i="253" l="1"/>
  <c r="L15" i="253"/>
  <c r="H8" i="253"/>
  <c r="F9" i="253"/>
  <c r="G9" i="253" s="1"/>
  <c r="H9" i="253" l="1"/>
  <c r="F10" i="253"/>
  <c r="G10" i="253" s="1"/>
  <c r="L16" i="253"/>
  <c r="N15" i="253"/>
  <c r="N16" i="253" l="1"/>
  <c r="L17" i="253"/>
  <c r="H10" i="253"/>
  <c r="F11" i="253"/>
  <c r="G11" i="253" s="1"/>
  <c r="H11" i="253" l="1"/>
  <c r="F12" i="253"/>
  <c r="G12" i="253" s="1"/>
  <c r="N17" i="253"/>
  <c r="L18" i="253"/>
  <c r="N18" i="253" l="1"/>
  <c r="L19" i="253"/>
  <c r="N19" i="253" s="1"/>
  <c r="H12" i="253"/>
  <c r="F13" i="253"/>
  <c r="G13" i="253" s="1"/>
  <c r="H13" i="253" l="1"/>
  <c r="F14" i="253"/>
  <c r="G14" i="253" s="1"/>
  <c r="H14" i="253" l="1"/>
  <c r="F15" i="253"/>
  <c r="G15" i="253" s="1"/>
  <c r="H15" i="253" l="1"/>
  <c r="F16" i="253"/>
  <c r="G16" i="253" s="1"/>
  <c r="H16" i="253" l="1"/>
  <c r="F17" i="253"/>
  <c r="G17" i="253" s="1"/>
  <c r="H17" i="253" l="1"/>
  <c r="F18" i="253"/>
  <c r="G18" i="253" s="1"/>
  <c r="H18" i="253" l="1"/>
  <c r="F19" i="253"/>
  <c r="G19" i="253" s="1"/>
  <c r="H19" i="253" l="1"/>
  <c r="F20" i="253"/>
  <c r="G20" i="253" s="1"/>
  <c r="H20" i="253" s="1"/>
</calcChain>
</file>

<file path=xl/sharedStrings.xml><?xml version="1.0" encoding="utf-8"?>
<sst xmlns="http://schemas.openxmlformats.org/spreadsheetml/2006/main" count="5160" uniqueCount="4312">
  <si>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</si>
  <si>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</si>
  <si>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</si>
  <si>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</si>
  <si>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</si>
  <si>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</si>
  <si>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</si>
  <si>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</si>
  <si>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</si>
  <si>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</si>
  <si>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</si>
  <si>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</si>
  <si>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</si>
  <si>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</si>
  <si>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</si>
  <si>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</si>
  <si>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</si>
  <si>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</si>
  <si>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</si>
  <si>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</si>
  <si>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</si>
  <si>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</si>
  <si>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Number of depots</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</si>
  <si>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</si>
  <si>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</si>
  <si>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</si>
  <si>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</si>
  <si>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</si>
  <si>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</si>
  <si>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</si>
  <si>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</si>
  <si>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</si>
  <si>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</si>
  <si>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</si>
  <si>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</si>
  <si>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</si>
  <si>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</si>
  <si>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</si>
  <si>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</si>
  <si>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</si>
  <si>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</si>
  <si>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</si>
  <si>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</si>
  <si>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</si>
  <si>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</si>
  <si>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</si>
  <si>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</si>
  <si>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</si>
  <si>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</si>
  <si>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</si>
  <si>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</si>
  <si>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</si>
  <si>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</si>
  <si>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</si>
  <si>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</si>
  <si>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</si>
  <si>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</si>
  <si>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</si>
  <si>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</si>
  <si>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</si>
  <si>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</si>
  <si>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</si>
  <si>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</si>
  <si>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</si>
  <si>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</si>
  <si>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</si>
  <si>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</si>
  <si>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</si>
  <si>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</si>
  <si>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</si>
  <si>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</si>
  <si>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</si>
  <si>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</si>
  <si>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</si>
  <si>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</si>
  <si>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</si>
  <si>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</si>
  <si>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</si>
  <si>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</si>
  <si>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</si>
  <si>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</si>
  <si>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</si>
  <si>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</si>
  <si>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</si>
  <si>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</si>
  <si>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</si>
  <si>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</si>
  <si>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</si>
  <si>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</si>
  <si>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</si>
  <si>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</si>
  <si>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</si>
  <si>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</si>
  <si>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</si>
  <si>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</si>
  <si>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</si>
  <si>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</si>
  <si>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</si>
  <si>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</si>
  <si>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</si>
  <si>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</si>
  <si>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</si>
  <si>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</si>
  <si>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</si>
  <si>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</si>
  <si>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</si>
  <si>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</si>
  <si>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</si>
  <si>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</si>
  <si>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</si>
  <si>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</si>
  <si>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</si>
  <si>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</si>
  <si>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</si>
  <si>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</si>
  <si>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</si>
  <si>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</si>
  <si>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</si>
  <si>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</si>
  <si>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</si>
  <si>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</si>
  <si>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</si>
  <si>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</si>
  <si>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</si>
  <si>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</si>
  <si>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</si>
  <si>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</si>
  <si>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</si>
  <si>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</si>
  <si>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</si>
  <si>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</si>
  <si>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</si>
  <si>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</si>
  <si>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</si>
  <si>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</si>
  <si>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</si>
  <si>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</si>
  <si>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</si>
  <si>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</si>
  <si>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</si>
  <si>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</si>
  <si>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</si>
  <si>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</si>
  <si>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</si>
  <si>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</si>
  <si>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</si>
  <si>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</si>
  <si>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</si>
  <si>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</si>
  <si>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</si>
  <si>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</si>
  <si>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</si>
  <si>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</si>
  <si>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</si>
  <si>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</si>
  <si>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</si>
  <si>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</si>
  <si>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</si>
  <si>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</si>
  <si>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</si>
  <si>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</si>
  <si>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</si>
  <si>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</si>
  <si>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</si>
  <si>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</si>
  <si>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</si>
  <si>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</si>
  <si>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</si>
  <si>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</si>
  <si>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</si>
  <si>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</si>
  <si>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</si>
  <si>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</si>
  <si>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</si>
  <si>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</si>
  <si>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</si>
  <si>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</si>
  <si>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</si>
  <si>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</si>
  <si>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</si>
  <si>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</si>
  <si>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</si>
  <si>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</si>
  <si>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</si>
  <si>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</si>
  <si>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</si>
  <si>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</si>
  <si>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</si>
  <si>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</si>
  <si>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</si>
  <si>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</si>
  <si>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</si>
  <si>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</si>
  <si>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</si>
  <si>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</si>
  <si>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</si>
  <si>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</si>
  <si>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</si>
  <si>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</si>
  <si>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</si>
  <si>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</si>
  <si>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</si>
  <si>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</si>
  <si>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</si>
  <si>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</si>
  <si>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</si>
  <si>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</si>
  <si>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</si>
  <si>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</si>
  <si>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</si>
  <si>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</si>
  <si>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</si>
  <si>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</si>
  <si>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</si>
  <si>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</si>
  <si>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</si>
  <si>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</si>
  <si>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</si>
  <si>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</si>
  <si>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</si>
  <si>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</si>
  <si>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</si>
  <si>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</si>
  <si>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</si>
  <si>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</si>
  <si>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</si>
  <si>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</si>
  <si>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</si>
  <si>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</si>
  <si>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</si>
  <si>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</si>
  <si>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</si>
  <si>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</si>
  <si>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</si>
  <si>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</si>
  <si>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</si>
  <si>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</si>
  <si>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</si>
  <si>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</si>
  <si>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</si>
  <si>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</si>
  <si>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</si>
  <si>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</si>
  <si>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</si>
  <si>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</si>
  <si>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</si>
  <si>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</si>
  <si>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</si>
  <si>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</si>
  <si>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</si>
  <si>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</si>
  <si>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</si>
  <si>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</si>
  <si>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</si>
  <si>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</si>
  <si>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</si>
  <si>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</si>
  <si>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</si>
  <si>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</si>
  <si>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</si>
  <si>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</si>
  <si>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</si>
  <si>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</si>
  <si>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</si>
  <si>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</si>
  <si>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</si>
  <si>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</si>
  <si>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</si>
  <si>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</si>
  <si>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</si>
  <si>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</si>
  <si>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</si>
  <si>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</si>
  <si>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</si>
  <si>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</si>
  <si>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</si>
  <si>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</si>
  <si>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</si>
  <si>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</si>
  <si>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</si>
  <si>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</si>
  <si>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</si>
  <si>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</si>
  <si>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</si>
  <si>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</si>
  <si>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</si>
  <si>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</si>
  <si>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</si>
  <si>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</si>
  <si>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</si>
  <si>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</si>
  <si>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</si>
  <si>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</si>
  <si>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</si>
  <si>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</si>
  <si>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</si>
  <si>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</si>
  <si>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</si>
  <si>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</si>
  <si>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</si>
  <si>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</si>
  <si>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</si>
  <si>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</si>
  <si>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</si>
  <si>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</si>
  <si>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</si>
  <si>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</si>
  <si>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</si>
  <si>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</si>
  <si>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</si>
  <si>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</si>
  <si>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</si>
  <si>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</si>
  <si>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</si>
  <si>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</si>
  <si>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</si>
  <si>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</si>
  <si>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</si>
  <si>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</si>
  <si>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</si>
  <si>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</si>
  <si>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</si>
  <si>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</si>
  <si>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</si>
  <si>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</si>
  <si>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</si>
  <si>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</si>
  <si>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</si>
  <si>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</si>
  <si>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</si>
  <si>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</si>
  <si>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</si>
  <si>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</si>
  <si>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</si>
  <si>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</si>
  <si>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</si>
  <si>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</si>
  <si>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</si>
  <si>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</si>
  <si>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</si>
  <si>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</si>
  <si>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</si>
  <si>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</si>
  <si>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</si>
  <si>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</si>
  <si>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</si>
  <si>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</si>
  <si>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</si>
  <si>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</si>
  <si>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</si>
  <si>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</si>
  <si>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</si>
  <si>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</si>
  <si>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</si>
  <si>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</si>
  <si>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</si>
  <si>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</si>
  <si>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</si>
  <si>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</si>
  <si>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</si>
  <si>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</si>
  <si>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</si>
  <si>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</si>
  <si>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</si>
  <si>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</si>
  <si>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</si>
  <si>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</si>
  <si>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</si>
  <si>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</si>
  <si>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</si>
  <si>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</si>
  <si>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</si>
  <si>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</si>
  <si>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</si>
  <si>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</si>
  <si>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</si>
  <si>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</si>
  <si>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</si>
  <si>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</si>
  <si>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</si>
  <si>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</si>
  <si>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</si>
  <si>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</si>
  <si>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</si>
  <si>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</si>
  <si>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</si>
  <si>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</si>
  <si>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</si>
  <si>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</si>
  <si>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</si>
  <si>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</si>
  <si>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</si>
  <si>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</si>
  <si>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</si>
  <si>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</si>
  <si>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</si>
  <si>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</si>
  <si>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</si>
  <si>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</si>
  <si>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</si>
  <si>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</si>
  <si>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</si>
  <si>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</si>
  <si>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</si>
  <si>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</si>
  <si>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</si>
  <si>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</si>
  <si>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</si>
  <si>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</si>
  <si>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</si>
  <si>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</si>
  <si>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</si>
  <si>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</si>
  <si>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</si>
  <si>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</si>
  <si>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</si>
  <si>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</si>
  <si>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</si>
  <si>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</si>
  <si>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</si>
  <si>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</si>
  <si>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</si>
  <si>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</si>
  <si>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</si>
  <si>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</si>
  <si>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</si>
  <si>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</si>
  <si>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</si>
  <si>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</si>
  <si>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</si>
  <si>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</si>
  <si>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</si>
  <si>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</si>
  <si>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</si>
  <si>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</si>
  <si>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</si>
  <si>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</si>
  <si>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</si>
  <si>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</si>
  <si>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</si>
  <si>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</si>
  <si>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</si>
  <si>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</si>
  <si>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</si>
  <si>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</si>
  <si>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</si>
  <si>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</si>
  <si>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</si>
  <si>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</si>
  <si>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</si>
  <si>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</si>
  <si>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</si>
  <si>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</si>
  <si>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</si>
  <si>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</si>
  <si>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</si>
  <si>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</si>
  <si>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</si>
  <si>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</si>
  <si>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</si>
  <si>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</si>
  <si>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</si>
  <si>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</si>
  <si>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</si>
  <si>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</si>
  <si>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</si>
  <si>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</si>
  <si>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</si>
  <si>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</si>
  <si>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</si>
  <si>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</si>
  <si>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</si>
  <si>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</si>
  <si>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</si>
  <si>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</si>
  <si>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</si>
  <si>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</si>
  <si>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</si>
  <si>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</si>
  <si>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</si>
  <si>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</si>
  <si>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</si>
  <si>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</si>
  <si>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</si>
  <si>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</si>
  <si>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</si>
  <si>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</si>
  <si>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</si>
  <si>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</si>
  <si>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</si>
  <si>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</si>
  <si>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</si>
  <si>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</si>
  <si>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</si>
  <si>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</si>
  <si>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</si>
  <si>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</si>
  <si>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</si>
  <si>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</si>
  <si>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</si>
  <si>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</si>
  <si>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</si>
  <si>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</si>
  <si>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</si>
  <si>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</si>
  <si>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</si>
  <si>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</si>
  <si>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</si>
  <si>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</si>
  <si>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</si>
  <si>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</si>
  <si>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</si>
  <si>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</si>
  <si>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</si>
  <si>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</si>
  <si>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</si>
  <si>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</si>
  <si>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</si>
  <si>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</si>
  <si>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</si>
  <si>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</si>
  <si>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</si>
  <si>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</si>
  <si>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</si>
  <si>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</si>
  <si>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</si>
  <si>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</si>
  <si>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</si>
  <si>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</si>
  <si>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</si>
  <si>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</si>
  <si>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</si>
  <si>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</si>
  <si>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</si>
  <si>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</si>
  <si>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</si>
  <si>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</si>
  <si>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</si>
  <si>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</si>
  <si>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</si>
  <si>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</si>
  <si>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</si>
  <si>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</si>
  <si>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</si>
  <si>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</si>
  <si>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</si>
  <si>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</si>
  <si>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</si>
  <si>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</si>
  <si>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</si>
  <si>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</si>
  <si>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</si>
  <si>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</si>
  <si>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</si>
  <si>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</si>
  <si>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</si>
  <si>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</si>
  <si>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</si>
  <si>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</si>
  <si>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</si>
  <si>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</si>
  <si>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</si>
  <si>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</si>
  <si>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</si>
  <si>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</si>
  <si>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</si>
  <si>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</si>
  <si>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</si>
  <si>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</si>
  <si>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</si>
  <si>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</si>
  <si>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</si>
  <si>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</si>
  <si>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</si>
  <si>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</si>
  <si>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</si>
  <si>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</si>
  <si>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</si>
  <si>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</si>
  <si>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</si>
  <si>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</si>
  <si>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</si>
  <si>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</si>
  <si>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</si>
  <si>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</si>
  <si>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</si>
  <si>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</si>
  <si>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</si>
  <si>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</si>
  <si>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</si>
  <si>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</si>
  <si>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</si>
  <si>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</si>
  <si>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</si>
  <si>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</si>
  <si>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</si>
  <si>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</si>
  <si>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</si>
  <si>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</si>
  <si>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</si>
  <si>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</si>
  <si>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</si>
  <si>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</si>
  <si>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</si>
  <si>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</si>
  <si>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</si>
  <si>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</si>
  <si>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</si>
  <si>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</si>
  <si>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</si>
  <si>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</si>
  <si>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</si>
  <si>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</si>
  <si>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</si>
  <si>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</si>
  <si>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</si>
  <si>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</si>
  <si>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</si>
  <si>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</si>
  <si>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</si>
  <si>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</si>
  <si>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</si>
  <si>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</si>
  <si>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</si>
  <si>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</si>
  <si>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</si>
  <si>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</si>
  <si>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</si>
  <si>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</si>
  <si>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</si>
  <si>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</si>
  <si>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</si>
  <si>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</si>
  <si>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</si>
  <si>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</si>
  <si>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</si>
  <si>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</si>
  <si>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</si>
  <si>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</si>
  <si>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</si>
  <si>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</si>
  <si>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</si>
  <si>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</si>
  <si>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</si>
  <si>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</si>
  <si>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</si>
  <si>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</si>
  <si>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</si>
  <si>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</si>
  <si>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</si>
  <si>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</si>
  <si>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</si>
  <si>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</si>
  <si>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</si>
  <si>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</si>
  <si>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</si>
  <si>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</si>
  <si>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</si>
  <si>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</si>
  <si>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</si>
  <si>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</si>
  <si>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</si>
  <si>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</si>
  <si>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</si>
  <si>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</si>
  <si>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</si>
  <si>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</si>
  <si>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</si>
  <si>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</si>
  <si>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</si>
  <si>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</si>
  <si>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</si>
  <si>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</si>
  <si>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</si>
  <si>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</si>
  <si>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</si>
  <si>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</si>
  <si>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</si>
  <si>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</si>
  <si>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</si>
  <si>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</si>
  <si>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</si>
  <si>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</si>
  <si>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</si>
  <si>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</si>
  <si>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</si>
  <si>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</si>
  <si>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</si>
  <si>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</si>
  <si>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</si>
  <si>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</si>
  <si>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</si>
  <si>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</si>
  <si>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</si>
  <si>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</si>
  <si>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</si>
  <si>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</si>
  <si>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</si>
  <si>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</si>
  <si>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</si>
  <si>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</si>
  <si>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</si>
  <si>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</si>
  <si>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</si>
  <si>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</si>
  <si>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</si>
  <si>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</si>
  <si>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</si>
  <si>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</si>
  <si>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</si>
  <si>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</si>
  <si>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</si>
  <si>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</si>
  <si>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</si>
  <si>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</si>
  <si>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</si>
  <si>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</si>
  <si>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</si>
  <si>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</si>
  <si>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</si>
  <si>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</si>
  <si>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</si>
  <si>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</si>
  <si>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</si>
  <si>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</si>
  <si>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</si>
  <si>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</si>
  <si>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</si>
  <si>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</si>
  <si>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</si>
  <si>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</si>
  <si>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</si>
  <si>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</si>
  <si>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</si>
  <si>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</si>
  <si>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</si>
  <si>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</si>
  <si>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</si>
  <si>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</si>
  <si>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</si>
  <si>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</si>
  <si>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</si>
  <si>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</si>
  <si>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</si>
  <si>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</si>
  <si>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</si>
  <si>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</si>
  <si>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</si>
  <si>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</si>
  <si>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</si>
  <si>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</si>
  <si>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</si>
  <si>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</si>
  <si>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</si>
  <si>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</si>
  <si>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</si>
  <si>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</si>
  <si>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</si>
  <si>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</si>
  <si>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</si>
  <si>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</si>
  <si>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</si>
  <si>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</si>
  <si>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</si>
  <si>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</si>
  <si>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</si>
  <si>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</si>
  <si>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</si>
  <si>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</si>
  <si>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</si>
  <si>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</si>
  <si>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</si>
  <si>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</si>
  <si>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</si>
  <si>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</si>
  <si>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</si>
  <si>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</si>
  <si>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</si>
  <si>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</si>
  <si>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</si>
  <si>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</si>
  <si>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</si>
  <si>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</si>
  <si>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</si>
  <si>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</si>
  <si>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</si>
  <si>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</si>
  <si>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</si>
  <si>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</si>
  <si>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</si>
  <si>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</si>
  <si>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</si>
  <si>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</si>
  <si>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</si>
  <si>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</si>
  <si>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</si>
  <si>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</si>
  <si>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</si>
  <si>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</si>
  <si>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</si>
  <si>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</si>
  <si>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</si>
  <si>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</si>
  <si>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</si>
  <si>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</si>
  <si>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</si>
  <si>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</si>
  <si>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</si>
  <si>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</si>
  <si>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</si>
  <si>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</si>
  <si>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</si>
  <si>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</si>
  <si>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</si>
  <si>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</si>
  <si>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</si>
  <si>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</si>
  <si>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</si>
  <si>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</si>
  <si>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</si>
  <si>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</si>
  <si>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</si>
  <si>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</si>
  <si>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</si>
  <si>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</si>
  <si>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</si>
  <si>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</si>
  <si>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</si>
  <si>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</si>
  <si>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</si>
  <si>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</si>
  <si>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</si>
  <si>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</si>
  <si>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</si>
  <si>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</si>
  <si>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</si>
  <si>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</si>
  <si>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</si>
  <si>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</si>
  <si>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</si>
  <si>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</si>
  <si>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</si>
  <si>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</si>
  <si>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</si>
  <si>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</si>
  <si>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</si>
  <si>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</si>
  <si>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</si>
  <si>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</si>
  <si>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</si>
  <si>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</si>
  <si>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</si>
  <si>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</si>
  <si>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</si>
  <si>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</si>
  <si>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</si>
  <si>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</si>
  <si>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</si>
  <si>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</si>
  <si>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</si>
  <si>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</si>
  <si>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</si>
  <si>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</si>
  <si>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</si>
  <si>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</si>
  <si>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</si>
  <si>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</si>
  <si>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</si>
  <si>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</si>
  <si>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</si>
  <si>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</si>
  <si>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</si>
  <si>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</si>
  <si>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</si>
  <si>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</si>
  <si>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</si>
  <si>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</si>
  <si>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</si>
  <si>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</si>
  <si>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</si>
  <si>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</si>
  <si>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</si>
  <si>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</si>
  <si>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</si>
  <si>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</si>
  <si>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</si>
  <si>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</si>
  <si>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</si>
  <si>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</si>
  <si>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</si>
  <si>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</si>
  <si>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</si>
  <si>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</si>
  <si>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</si>
  <si>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</si>
  <si>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</si>
  <si>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</si>
  <si>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</si>
  <si>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</si>
  <si>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</si>
  <si>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</si>
  <si>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</si>
  <si>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</si>
  <si>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</si>
  <si>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</si>
  <si>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</si>
  <si>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</si>
  <si>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</si>
  <si>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</si>
  <si>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</si>
  <si>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</si>
  <si>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</si>
  <si>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</si>
  <si>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</si>
  <si>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</si>
  <si>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</si>
  <si>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</si>
  <si>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</si>
  <si>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</si>
  <si>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</si>
  <si>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</si>
  <si>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</si>
  <si>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</si>
  <si>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</si>
  <si>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</si>
  <si>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</si>
  <si>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</si>
  <si>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</si>
  <si>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</si>
  <si>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</si>
  <si>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</si>
  <si>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</si>
  <si>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</si>
  <si>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</si>
  <si>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</si>
  <si>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</si>
  <si>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</si>
  <si>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</si>
  <si>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</si>
  <si>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</si>
  <si>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</si>
  <si>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</si>
  <si>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</si>
  <si>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</si>
  <si>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</si>
  <si>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</si>
  <si>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</si>
  <si>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</si>
  <si>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</si>
  <si>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</si>
  <si>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</si>
  <si>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</si>
  <si>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</si>
  <si>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</si>
  <si>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</si>
  <si>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</si>
  <si>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</si>
  <si>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</si>
  <si>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</si>
  <si>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</si>
  <si>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</si>
  <si>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</si>
  <si>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</si>
  <si>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</si>
  <si>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</si>
  <si>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</si>
  <si>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</si>
  <si>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</si>
  <si>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</si>
  <si>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</si>
  <si>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</si>
  <si>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</si>
  <si>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</si>
  <si>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</si>
  <si>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</si>
  <si>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</si>
  <si>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</si>
  <si>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</si>
  <si>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</si>
  <si>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</si>
  <si>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</si>
  <si>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</si>
  <si>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</si>
  <si>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</si>
  <si>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</si>
  <si>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</si>
  <si>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</si>
  <si>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</si>
  <si>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</si>
  <si>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</si>
  <si>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</si>
  <si>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</si>
  <si>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</si>
  <si>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</si>
  <si>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</si>
  <si>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</si>
  <si>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</si>
  <si>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</si>
  <si>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</si>
  <si>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</si>
  <si>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</si>
  <si>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</si>
  <si>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</si>
  <si>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</si>
  <si>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</si>
  <si>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</si>
  <si>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</si>
  <si>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</si>
  <si>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</si>
  <si>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</si>
  <si>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</si>
  <si>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</si>
  <si>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</si>
  <si>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</si>
  <si>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</si>
  <si>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</si>
  <si>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</si>
  <si>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</si>
  <si>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</si>
  <si>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</si>
  <si>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</si>
  <si>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</si>
  <si>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</si>
  <si>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</si>
  <si>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</si>
  <si>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</si>
  <si>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</si>
  <si>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</si>
  <si>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</si>
  <si>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</si>
  <si>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</si>
  <si>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</si>
  <si>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</si>
  <si>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</si>
  <si>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</si>
  <si>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</si>
  <si>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</si>
  <si>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</si>
  <si>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</si>
  <si>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</si>
  <si>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</si>
  <si>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</si>
  <si>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</si>
  <si>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</si>
  <si>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</si>
  <si>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</si>
  <si>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</si>
  <si>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</si>
  <si>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</si>
  <si>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</si>
  <si>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</si>
  <si>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</si>
  <si>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</si>
  <si>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</si>
  <si>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</si>
  <si>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</si>
  <si>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</si>
  <si>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</si>
  <si>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</si>
  <si>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</si>
  <si>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</si>
  <si>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</si>
  <si>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</si>
  <si>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</si>
  <si>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</si>
  <si>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</si>
  <si>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</si>
  <si>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</si>
  <si>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</si>
  <si>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</si>
  <si>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</si>
  <si>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</si>
  <si>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</si>
  <si>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</si>
  <si>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</si>
  <si>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</si>
  <si>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</si>
  <si>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</si>
  <si>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</si>
  <si>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</si>
  <si>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</si>
  <si>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</si>
  <si>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</si>
  <si>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</si>
  <si>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</si>
  <si>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</si>
  <si>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</si>
  <si>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</si>
  <si>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</si>
  <si>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</si>
  <si>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</si>
  <si>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</si>
  <si>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</si>
  <si>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</si>
  <si>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</si>
  <si>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</si>
  <si>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</si>
  <si>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</si>
  <si>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</si>
  <si>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</si>
  <si>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</si>
  <si>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</si>
  <si>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</si>
  <si>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</si>
  <si>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</si>
  <si>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</si>
  <si>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</si>
  <si>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</si>
  <si>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</si>
  <si>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</si>
  <si>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</si>
  <si>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</si>
  <si>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</si>
  <si>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</si>
  <si>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</si>
  <si>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</si>
  <si>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</si>
  <si>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</si>
  <si>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</si>
  <si>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</si>
  <si>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</si>
  <si>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</si>
  <si>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</si>
  <si>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</si>
  <si>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</si>
  <si>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</si>
  <si>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</si>
  <si>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</si>
  <si>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</si>
  <si>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</si>
  <si>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</si>
  <si>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</si>
  <si>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</si>
  <si>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</si>
  <si>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</si>
  <si>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</si>
  <si>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</si>
  <si>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</si>
  <si>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</si>
  <si>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</si>
  <si>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</si>
  <si>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</si>
  <si>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</si>
  <si>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</si>
  <si>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</si>
  <si>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</si>
  <si>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</si>
  <si>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</si>
  <si>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</si>
  <si>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</si>
  <si>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</si>
  <si>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</si>
  <si>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</si>
  <si>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</si>
  <si>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</si>
  <si>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</si>
  <si>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</si>
  <si>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</si>
  <si>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</si>
  <si>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</si>
  <si>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</si>
  <si>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</si>
  <si>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</si>
  <si>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</si>
  <si>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</si>
  <si>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</si>
  <si>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</si>
  <si>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</si>
  <si>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</si>
  <si>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</si>
  <si>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</si>
  <si>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</si>
  <si>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</si>
  <si>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</si>
  <si>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</si>
  <si>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</si>
  <si>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</si>
  <si>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</si>
  <si>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</si>
  <si>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</si>
  <si>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</si>
  <si>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</si>
  <si>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</si>
  <si>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</si>
  <si>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</si>
  <si>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</si>
  <si>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</si>
  <si>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</si>
  <si>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</si>
  <si>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</si>
  <si>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</si>
  <si>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</si>
  <si>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</si>
  <si>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</si>
  <si>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</si>
  <si>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</si>
  <si>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</si>
  <si>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</si>
  <si>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</si>
  <si>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</si>
  <si>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</si>
  <si>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</si>
  <si>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</si>
  <si>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</si>
  <si>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</si>
  <si>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</si>
  <si>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</si>
  <si>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</si>
  <si>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</si>
  <si>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</si>
  <si>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</si>
  <si>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</si>
  <si>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</si>
  <si>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</si>
  <si>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</si>
  <si>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</si>
  <si>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</si>
  <si>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</si>
  <si>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</si>
  <si>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</si>
  <si>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</si>
  <si>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</si>
  <si>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</si>
  <si>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</si>
  <si>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</si>
  <si>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</si>
  <si>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</si>
  <si>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</si>
  <si>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</si>
  <si>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</si>
  <si>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</si>
  <si>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</si>
  <si>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</si>
  <si>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</si>
  <si>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</si>
  <si>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</si>
  <si>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</si>
  <si>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</si>
  <si>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</si>
  <si>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</si>
  <si>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</si>
  <si>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</si>
  <si>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</si>
  <si>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</si>
  <si>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</si>
  <si>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</si>
  <si>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</si>
  <si>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</si>
  <si>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</si>
  <si>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</si>
  <si>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</si>
  <si>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</si>
  <si>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</si>
  <si>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</si>
  <si>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</si>
  <si>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</si>
  <si>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</si>
  <si>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</si>
  <si>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</si>
  <si>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</si>
  <si>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</si>
  <si>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</si>
  <si>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</si>
  <si>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</si>
  <si>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</si>
  <si>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</si>
  <si>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</si>
  <si>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</si>
  <si>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</si>
  <si>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</si>
  <si>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</si>
  <si>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</si>
  <si>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</si>
  <si>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</si>
  <si>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</si>
  <si>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</si>
  <si>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</si>
  <si>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</si>
  <si>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</si>
  <si>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</si>
  <si>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</si>
  <si>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</si>
  <si>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</si>
  <si>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</si>
  <si>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</si>
  <si>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</si>
  <si>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</si>
  <si>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</si>
  <si>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</si>
  <si>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</si>
  <si>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</si>
  <si>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</si>
  <si>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</si>
  <si>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</si>
  <si>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</si>
  <si>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</si>
  <si>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</si>
  <si>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</si>
  <si>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</si>
  <si>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</si>
  <si>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</si>
  <si>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</si>
  <si>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</si>
  <si>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</si>
  <si>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</si>
  <si>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</si>
  <si>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</si>
  <si>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</si>
  <si>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</si>
  <si>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</si>
  <si>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</si>
  <si>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</si>
  <si>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</si>
  <si>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</si>
  <si>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</si>
  <si>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</si>
  <si>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</si>
  <si>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</si>
  <si>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</si>
  <si>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</si>
  <si>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</si>
  <si>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</si>
  <si>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</si>
  <si>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</si>
  <si>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</si>
  <si>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</si>
  <si>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</si>
  <si>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</si>
  <si>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</si>
  <si>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</si>
  <si>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</si>
  <si>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</si>
  <si>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</si>
  <si>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</si>
  <si>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</si>
  <si>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</si>
  <si>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</si>
  <si>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</si>
  <si>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</si>
  <si>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</si>
  <si>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</si>
  <si>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</si>
  <si>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</si>
  <si>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</si>
  <si>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</si>
  <si>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</si>
  <si>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</si>
  <si>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</si>
  <si>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</si>
  <si>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</si>
  <si>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</si>
  <si>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</si>
  <si>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</si>
  <si>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</si>
  <si>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</si>
  <si>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</si>
  <si>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</si>
  <si>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</si>
  <si>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</si>
  <si>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</si>
  <si>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</si>
  <si>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</si>
  <si>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</si>
  <si>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</si>
  <si>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</si>
  <si>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</si>
  <si>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</si>
  <si>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</si>
  <si>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</si>
  <si>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</si>
  <si>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</si>
  <si>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</si>
  <si>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</si>
  <si>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</si>
  <si>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</si>
  <si>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</si>
  <si>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</si>
  <si>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</si>
  <si>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</si>
  <si>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</si>
  <si>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</si>
  <si>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</si>
  <si>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</si>
  <si>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</si>
  <si>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</si>
  <si>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</si>
  <si>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</si>
  <si>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</si>
  <si>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</si>
  <si>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</si>
  <si>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</si>
  <si>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</si>
  <si>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</si>
  <si>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</si>
  <si>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</si>
  <si>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</si>
  <si>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</si>
  <si>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</si>
  <si>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</si>
  <si>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</si>
  <si>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</si>
  <si>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</si>
  <si>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</si>
  <si>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</si>
  <si>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</si>
  <si>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</si>
  <si>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</si>
  <si>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</si>
  <si>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</si>
  <si>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</si>
  <si>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</si>
  <si>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</si>
  <si>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</si>
  <si>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</si>
  <si>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</si>
  <si>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</si>
  <si>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</si>
  <si>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</si>
  <si>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</si>
  <si>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</si>
  <si>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</si>
  <si>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</si>
  <si>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</si>
  <si>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</si>
  <si>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</si>
  <si>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</si>
  <si>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</si>
  <si>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</si>
  <si>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</si>
  <si>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</si>
  <si>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</si>
  <si>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</si>
  <si>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</si>
  <si>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</si>
  <si>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</si>
  <si>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</si>
  <si>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</si>
  <si>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</si>
  <si>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</si>
  <si>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</si>
  <si>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</si>
  <si>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</si>
  <si>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</si>
  <si>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</si>
  <si>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</si>
  <si>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</si>
  <si>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</si>
  <si>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</si>
  <si>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</si>
  <si>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</si>
  <si>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</si>
  <si>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</si>
  <si>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</si>
  <si>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</si>
  <si>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</si>
  <si>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</si>
  <si>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</si>
  <si>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</si>
  <si>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</si>
  <si>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</si>
  <si>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</si>
  <si>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</si>
  <si>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</si>
  <si>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</si>
  <si>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</si>
  <si>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</si>
  <si>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</si>
  <si>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</si>
  <si>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</si>
  <si>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</si>
  <si>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</si>
  <si>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</si>
  <si>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</si>
  <si>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</si>
  <si>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</si>
  <si>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</si>
  <si>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</si>
  <si>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</si>
  <si>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</si>
  <si>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</si>
  <si>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</si>
  <si>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</si>
  <si>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</si>
  <si>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</si>
  <si>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</si>
  <si>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</si>
  <si>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</si>
  <si>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</si>
  <si>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</si>
  <si>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</si>
  <si>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</si>
  <si>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</si>
  <si>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</si>
  <si>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</si>
  <si>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</si>
  <si>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</si>
  <si>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</si>
  <si>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</si>
  <si>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</si>
  <si>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</si>
  <si>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</si>
  <si>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</si>
  <si>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</si>
  <si>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</si>
  <si>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</si>
  <si>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</si>
  <si>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</si>
  <si>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</si>
  <si>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</si>
  <si>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</si>
  <si>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</si>
  <si>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</si>
  <si>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</si>
  <si>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</si>
  <si>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</si>
  <si>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</si>
  <si>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</si>
  <si>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</si>
  <si>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</si>
  <si>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</si>
  <si>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</si>
  <si>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</si>
  <si>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</si>
  <si>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</si>
  <si>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</si>
  <si>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</si>
  <si>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</si>
  <si>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</si>
  <si>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</si>
  <si>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</si>
  <si>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</si>
  <si>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</si>
  <si>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</si>
  <si>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</si>
  <si>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</si>
  <si>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</si>
  <si>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</si>
  <si>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</si>
  <si>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</si>
  <si>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</si>
  <si>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</si>
  <si>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</si>
  <si>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</si>
  <si>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</si>
  <si>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</si>
  <si>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</si>
  <si>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</si>
  <si>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</si>
  <si>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</si>
  <si>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</si>
  <si>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</si>
  <si>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</si>
  <si>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</si>
  <si>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</si>
  <si>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</si>
  <si>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</si>
  <si>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</si>
  <si>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</si>
  <si>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</si>
  <si>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</si>
  <si>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</si>
  <si>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</si>
  <si>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</si>
  <si>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</si>
  <si>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</si>
  <si>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</si>
  <si>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</si>
  <si>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</si>
  <si>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</si>
  <si>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</si>
  <si>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</si>
  <si>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</si>
  <si>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</si>
  <si>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</si>
  <si>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</si>
  <si>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</si>
  <si>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</si>
  <si>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</si>
  <si>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</si>
  <si>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</si>
  <si>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</si>
  <si>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</si>
  <si>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</si>
  <si>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</si>
  <si>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</si>
  <si>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</si>
  <si>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</si>
  <si>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</si>
  <si>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</si>
  <si>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</si>
  <si>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</si>
  <si>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</si>
  <si>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</si>
  <si>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</si>
  <si>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</si>
  <si>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</si>
  <si>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</si>
  <si>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</si>
  <si>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</si>
  <si>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</si>
  <si>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</si>
  <si>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</si>
  <si>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</si>
  <si>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</si>
  <si>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</si>
  <si>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</si>
  <si>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</si>
  <si>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</si>
  <si>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</si>
  <si>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</si>
  <si>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</si>
  <si>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</si>
  <si>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</si>
  <si>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</si>
  <si>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</si>
  <si>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</si>
  <si>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</si>
  <si>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</si>
  <si>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</si>
  <si>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</si>
  <si>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</si>
  <si>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</si>
  <si>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</si>
  <si>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</si>
  <si>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</si>
  <si>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</si>
  <si>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</si>
  <si>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</si>
  <si>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</si>
  <si>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</si>
  <si>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</si>
  <si>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</si>
  <si>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</si>
  <si>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</si>
  <si>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</si>
  <si>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</si>
  <si>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</si>
  <si>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</si>
  <si>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</si>
  <si>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</si>
  <si>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</si>
  <si>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</si>
  <si>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</si>
  <si>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</si>
  <si>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</si>
  <si>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</si>
  <si>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</si>
  <si>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</si>
  <si>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</si>
  <si>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</si>
  <si>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</si>
  <si>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</si>
  <si>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</si>
  <si>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</si>
  <si>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</si>
  <si>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</si>
  <si>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</si>
  <si>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</si>
  <si>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</si>
  <si>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</si>
  <si>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</si>
  <si>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</si>
  <si>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</si>
  <si>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</si>
  <si>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</si>
  <si>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</si>
  <si>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</si>
  <si>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</si>
  <si>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</si>
  <si>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</si>
  <si>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</si>
  <si>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</si>
  <si>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</si>
  <si>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</si>
  <si>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</si>
  <si>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</si>
  <si>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</si>
  <si>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</si>
  <si>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</si>
  <si>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</si>
  <si>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</si>
  <si>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</si>
  <si>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</si>
  <si>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</si>
  <si>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</si>
  <si>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</si>
  <si>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</si>
  <si>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</si>
  <si>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</si>
  <si>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</si>
  <si>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</si>
  <si>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</si>
  <si>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</si>
  <si>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</si>
  <si>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</si>
  <si>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</si>
  <si>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</si>
  <si>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</si>
  <si>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</si>
  <si>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</si>
  <si>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</si>
  <si>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</si>
  <si>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</si>
  <si>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</si>
  <si>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</si>
  <si>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</si>
  <si>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</si>
  <si>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</si>
  <si>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</si>
  <si>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</si>
  <si>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</si>
  <si>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</si>
  <si>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</si>
  <si>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</si>
  <si>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</si>
  <si>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</si>
  <si>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</si>
  <si>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</si>
  <si>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</si>
  <si>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</si>
  <si>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</si>
  <si>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</si>
  <si>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</si>
  <si>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</si>
  <si>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</si>
  <si>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</si>
  <si>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</si>
  <si>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</si>
  <si>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</si>
  <si>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</si>
  <si>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</si>
  <si>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</si>
  <si>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</si>
  <si>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</si>
  <si>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</si>
  <si>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</si>
  <si>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</si>
  <si>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</si>
  <si>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</si>
  <si>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</si>
  <si>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</si>
  <si>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</si>
  <si>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</si>
  <si>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</si>
  <si>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</si>
  <si>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</si>
  <si>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</si>
  <si>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</si>
  <si>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</si>
  <si>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</si>
  <si>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</si>
  <si>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</si>
  <si>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</si>
  <si>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</si>
  <si>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</si>
  <si>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</si>
  <si>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</si>
  <si>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</si>
  <si>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</si>
  <si>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</si>
  <si>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</si>
  <si>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</si>
  <si>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</si>
  <si>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</si>
  <si>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</si>
  <si>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</si>
  <si>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</si>
  <si>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</si>
  <si>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</si>
  <si>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</si>
  <si>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</si>
  <si>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</si>
  <si>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</si>
  <si>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</si>
  <si>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</si>
  <si>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</si>
  <si>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</si>
  <si>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</si>
  <si>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</si>
  <si>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</si>
  <si>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</si>
  <si>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</si>
  <si>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</si>
  <si>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</si>
  <si>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</si>
  <si>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</si>
  <si>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</si>
  <si>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</si>
  <si>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</si>
  <si>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</si>
  <si>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</si>
  <si>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</si>
  <si>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</si>
  <si>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</si>
  <si>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</si>
  <si>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</si>
  <si>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</si>
  <si>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</si>
  <si>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</si>
  <si>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</si>
  <si>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</si>
  <si>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</si>
  <si>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</si>
  <si>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</si>
  <si>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</si>
  <si>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</si>
  <si>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</si>
  <si>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</si>
  <si>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</si>
  <si>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</si>
  <si>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</si>
  <si>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</si>
  <si>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</si>
  <si>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</si>
  <si>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</si>
  <si>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</si>
  <si>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</si>
  <si>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</si>
  <si>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</si>
  <si>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</si>
  <si>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</si>
  <si>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</si>
  <si>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</si>
  <si>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</si>
  <si>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</si>
  <si>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</si>
  <si>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</si>
  <si>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</si>
  <si>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</si>
  <si>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</si>
  <si>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</si>
  <si>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</si>
  <si>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</si>
  <si>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</si>
  <si>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</si>
  <si>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</si>
  <si>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</si>
  <si>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</si>
  <si>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</si>
  <si>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</si>
  <si>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</si>
  <si>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</si>
  <si>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</si>
  <si>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</si>
  <si>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</si>
  <si>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</si>
  <si>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</si>
  <si>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</si>
  <si>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</si>
  <si>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</si>
  <si>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</si>
  <si>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</si>
  <si>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</si>
  <si>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</si>
  <si>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</si>
  <si>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</si>
  <si>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</si>
  <si>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</si>
  <si>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</si>
  <si>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</si>
  <si>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</si>
  <si>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</si>
  <si>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</si>
  <si>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</si>
  <si>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</si>
  <si>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</si>
  <si>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</si>
  <si>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</si>
  <si>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</si>
  <si>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</si>
  <si>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</si>
  <si>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</si>
  <si>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</si>
  <si>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</si>
  <si>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</si>
  <si>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</si>
  <si>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</si>
  <si>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</si>
  <si>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</si>
  <si>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</si>
  <si>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</si>
  <si>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</si>
  <si>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</si>
  <si>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</si>
  <si>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</si>
  <si>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</si>
  <si>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</si>
  <si>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</si>
  <si>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</si>
  <si>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</si>
  <si>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</si>
  <si>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</si>
  <si>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</si>
  <si>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</si>
  <si>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</si>
  <si>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</si>
  <si>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</si>
  <si>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</si>
  <si>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</si>
  <si>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</si>
  <si>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</si>
  <si>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</si>
  <si>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</si>
  <si>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</si>
  <si>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</si>
  <si>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</si>
  <si>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</si>
  <si>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</si>
  <si>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</si>
  <si>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</si>
  <si>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</si>
  <si>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</si>
  <si>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</si>
  <si>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</si>
  <si>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</si>
  <si>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</si>
  <si>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</si>
  <si>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</si>
  <si>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</si>
  <si>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</si>
  <si>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</si>
  <si>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</si>
  <si>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</si>
  <si>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</si>
  <si>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</si>
  <si>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</si>
  <si>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</si>
  <si>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</si>
  <si>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</si>
  <si>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</si>
  <si>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</si>
  <si>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</si>
  <si>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</si>
  <si>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</si>
  <si>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</si>
  <si>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</si>
  <si>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</si>
  <si>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</si>
  <si>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</si>
  <si>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</si>
  <si>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</si>
  <si>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</si>
  <si>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</si>
  <si>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</si>
  <si>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</si>
  <si>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</si>
  <si>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</si>
  <si>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</si>
  <si>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</si>
  <si>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</si>
  <si>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</si>
  <si>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</si>
  <si>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</si>
  <si>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</si>
  <si>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</si>
  <si>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</si>
  <si>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</si>
  <si>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</si>
  <si>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</si>
  <si>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</si>
  <si>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</si>
  <si>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</si>
  <si>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</si>
  <si>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</si>
  <si>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</si>
  <si>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</si>
  <si>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</si>
  <si>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</si>
  <si>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</si>
  <si>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</si>
  <si>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</si>
  <si>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</si>
  <si>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</si>
  <si>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</si>
  <si>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</si>
  <si>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</si>
  <si>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</si>
  <si>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</si>
  <si>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</si>
  <si>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</si>
  <si>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</si>
  <si>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</si>
  <si>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</si>
  <si>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</si>
  <si>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</si>
  <si>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</si>
  <si>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</si>
  <si>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</si>
  <si>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</si>
  <si>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</si>
  <si>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</si>
  <si>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</si>
  <si>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</si>
  <si>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</si>
  <si>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</si>
  <si>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</si>
  <si>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</si>
  <si>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</si>
  <si>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</si>
  <si>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</si>
  <si>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</si>
  <si>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</si>
  <si>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</si>
  <si>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</si>
  <si>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</si>
  <si>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</si>
  <si>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</si>
  <si>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</si>
  <si>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</si>
  <si>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</si>
  <si>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</si>
  <si>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</si>
  <si>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</si>
  <si>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</si>
  <si>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</si>
  <si>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</si>
  <si>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</si>
  <si>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</si>
  <si>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</si>
  <si>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</si>
  <si>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</si>
  <si>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</si>
  <si>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</si>
  <si>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</si>
  <si>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</si>
  <si>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</si>
  <si>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</si>
  <si>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</si>
  <si>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</si>
  <si>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</si>
  <si>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</si>
  <si>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</si>
  <si>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</si>
  <si>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</si>
  <si>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</si>
  <si>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</si>
  <si>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</si>
  <si>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</si>
  <si>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</si>
  <si>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</si>
  <si>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</si>
  <si>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</si>
  <si>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</si>
  <si>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</si>
  <si>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</si>
  <si>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</si>
  <si>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</si>
  <si>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</si>
  <si>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</si>
  <si>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</si>
  <si>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</si>
  <si>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</si>
  <si>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</si>
  <si>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</si>
  <si>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</si>
  <si>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</si>
  <si>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</si>
  <si>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</si>
  <si>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</si>
  <si>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</si>
  <si>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</si>
  <si>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</si>
  <si>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</si>
  <si>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</si>
  <si>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</si>
  <si>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</si>
  <si>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</si>
  <si>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</si>
  <si>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</si>
  <si>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</si>
  <si>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</si>
  <si>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</si>
  <si>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</si>
  <si>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</si>
  <si>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</si>
  <si>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</si>
  <si>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</si>
  <si>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</si>
  <si>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</si>
  <si>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</si>
  <si>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</si>
  <si>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</si>
  <si>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</si>
  <si>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</si>
  <si>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</si>
  <si>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</si>
  <si>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</si>
  <si>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</si>
  <si>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</si>
  <si>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</si>
  <si>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</si>
  <si>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</si>
  <si>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</si>
  <si>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</si>
  <si>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</si>
  <si>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</si>
  <si>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</si>
  <si>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</si>
  <si>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</si>
  <si>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</si>
  <si>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</si>
  <si>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</si>
  <si>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</si>
  <si>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</si>
  <si>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</si>
  <si>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</si>
  <si>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</si>
  <si>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</si>
  <si>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</si>
  <si>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</si>
  <si>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</si>
  <si>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</si>
  <si>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</si>
  <si>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</si>
  <si>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</si>
  <si>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</si>
  <si>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</si>
  <si>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</si>
  <si>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</si>
  <si>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</si>
  <si>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</si>
  <si>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</si>
  <si>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</si>
  <si>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</si>
  <si>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</si>
  <si>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</si>
  <si>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</si>
  <si>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</si>
  <si>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</si>
  <si>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</si>
  <si>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</si>
  <si>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</si>
  <si>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</si>
  <si>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</si>
  <si>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</si>
  <si>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</si>
  <si>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</si>
  <si>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</si>
  <si>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</si>
  <si>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</si>
  <si>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</si>
  <si>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</si>
  <si>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</si>
  <si>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</si>
  <si>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</si>
  <si>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</si>
  <si>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</si>
  <si>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</si>
  <si>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</si>
  <si>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</si>
  <si>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</si>
  <si>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</si>
  <si>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</si>
  <si>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</si>
  <si>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</si>
  <si>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</si>
  <si>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</si>
  <si>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</si>
  <si>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</si>
  <si>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</si>
  <si>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</si>
  <si>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</si>
  <si>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</si>
  <si>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</si>
  <si>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</si>
  <si>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</si>
  <si>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</si>
  <si>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</si>
  <si>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</si>
  <si>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</si>
  <si>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</si>
  <si>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</si>
  <si>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</si>
  <si>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</si>
  <si>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</si>
  <si>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</si>
  <si>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</si>
  <si>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</si>
  <si>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</si>
  <si>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</si>
  <si>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</si>
  <si>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</si>
  <si>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</si>
  <si>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</si>
  <si>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</si>
  <si>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</si>
  <si>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</si>
  <si>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</si>
  <si>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</si>
  <si>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</si>
  <si>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</si>
  <si>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</si>
  <si>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</si>
  <si>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</si>
  <si>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</si>
  <si>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</si>
  <si>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</si>
  <si>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</si>
  <si>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</si>
  <si>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</si>
  <si>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</si>
  <si>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</si>
  <si>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</si>
  <si>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</si>
  <si>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</si>
  <si>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</si>
  <si>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</si>
  <si>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</si>
  <si>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</si>
  <si>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</si>
  <si>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</si>
  <si>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</si>
  <si>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</si>
  <si>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</si>
  <si>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</si>
  <si>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</si>
  <si>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</si>
  <si>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</si>
  <si>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</si>
  <si>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</si>
  <si>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</si>
  <si>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</si>
  <si>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</si>
  <si>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</si>
  <si>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</si>
  <si>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</si>
  <si>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</si>
  <si>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</si>
  <si>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</si>
  <si>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</si>
  <si>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</si>
  <si>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</si>
  <si>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</si>
  <si>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</si>
  <si>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</si>
  <si>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</si>
  <si>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</si>
  <si>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</si>
  <si>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</si>
  <si>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</si>
  <si>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</si>
  <si>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</si>
  <si>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</si>
  <si>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</si>
  <si>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</si>
  <si>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</si>
  <si>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</si>
  <si>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</si>
  <si>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</si>
  <si>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</si>
  <si>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</si>
  <si>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</si>
  <si>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</si>
  <si>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</si>
  <si>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</si>
  <si>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</si>
  <si>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</si>
  <si>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</si>
  <si>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</si>
  <si>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</si>
  <si>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</si>
  <si>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</si>
  <si>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</si>
  <si>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</si>
  <si>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</si>
  <si>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</si>
  <si>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</si>
  <si>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</si>
  <si>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</si>
  <si>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</si>
  <si>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</si>
  <si>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</si>
  <si>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</si>
  <si>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</si>
  <si>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</si>
  <si>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</si>
  <si>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</si>
  <si>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</si>
  <si>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</si>
  <si>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</si>
  <si>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</si>
  <si>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</si>
  <si>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</si>
  <si>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</si>
  <si>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</si>
  <si>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</si>
  <si>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</si>
  <si>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</si>
  <si>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</si>
  <si>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</si>
  <si>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</si>
  <si>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</si>
  <si>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</si>
  <si>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</si>
  <si>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</si>
  <si>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</si>
  <si>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</si>
  <si>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</si>
  <si>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</si>
  <si>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</si>
  <si>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</si>
  <si>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</si>
  <si>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</si>
  <si>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</si>
  <si>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</si>
  <si>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</si>
  <si>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</si>
  <si>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</si>
  <si>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</si>
  <si>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</si>
  <si>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</si>
  <si>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</si>
  <si>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</si>
  <si>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</si>
  <si>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</si>
  <si>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</si>
  <si>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</si>
  <si>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</si>
  <si>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</si>
  <si>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</si>
  <si>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</si>
  <si>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</si>
  <si>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</si>
  <si>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</si>
  <si>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</si>
  <si>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</si>
  <si>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</si>
  <si>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</si>
  <si>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</si>
  <si>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</si>
  <si>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</si>
  <si>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</si>
  <si>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</si>
  <si>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</si>
  <si>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</si>
  <si>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</si>
  <si>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</si>
  <si>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</si>
  <si>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</si>
  <si>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</si>
  <si>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</si>
  <si>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</si>
  <si>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</si>
  <si>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</si>
  <si>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</si>
  <si>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</si>
  <si>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</si>
  <si>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</si>
  <si>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</si>
  <si>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</si>
  <si>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</si>
  <si>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</si>
  <si>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</si>
  <si>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</si>
  <si>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</si>
  <si>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</si>
  <si>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</si>
  <si>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</si>
  <si>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</si>
  <si>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</si>
  <si>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</si>
  <si>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</si>
  <si>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</si>
  <si>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</si>
  <si>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</si>
  <si>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</si>
  <si>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</si>
  <si>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</si>
  <si>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</si>
  <si>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</si>
  <si>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</si>
  <si>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</si>
  <si>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</si>
  <si>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</si>
  <si>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</si>
  <si>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</si>
  <si>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</si>
  <si>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</si>
  <si>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</si>
  <si>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</si>
  <si>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</si>
  <si>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</si>
  <si>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</si>
  <si>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</si>
  <si>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</si>
  <si>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</si>
  <si>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</si>
  <si>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</si>
  <si>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</si>
  <si>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</si>
  <si>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</si>
  <si>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</si>
  <si>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</si>
  <si>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</si>
  <si>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</si>
  <si>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</si>
  <si>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</si>
  <si>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</si>
  <si>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</si>
  <si>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</si>
  <si>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</si>
  <si>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</si>
  <si>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</si>
  <si>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</si>
  <si>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</si>
  <si>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</si>
  <si>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</si>
  <si>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</si>
  <si>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</si>
  <si>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</si>
  <si>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</si>
  <si>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</si>
  <si>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</si>
  <si>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</si>
  <si>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</si>
  <si>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</si>
  <si>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</si>
  <si>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</si>
  <si>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</si>
  <si>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</si>
  <si>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</si>
  <si>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</si>
  <si>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</si>
  <si>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</si>
  <si>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</si>
  <si>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</si>
  <si>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</si>
  <si>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</si>
  <si>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</si>
  <si>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</si>
  <si>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</si>
  <si>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</si>
  <si>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</si>
  <si>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</si>
  <si>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</si>
  <si>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</si>
  <si>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</si>
  <si>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</si>
  <si>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</si>
  <si>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</si>
  <si>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</si>
  <si>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</si>
  <si>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</si>
  <si>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</si>
  <si>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</si>
  <si>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</si>
  <si>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</si>
  <si>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</si>
  <si>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</si>
  <si>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</si>
  <si>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</si>
  <si>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</si>
  <si>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</si>
  <si>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</si>
  <si>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</si>
  <si>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</si>
  <si>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</si>
  <si>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</si>
  <si>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</si>
  <si>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</si>
  <si>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</si>
  <si>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</si>
  <si>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</si>
  <si>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</si>
  <si>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</si>
  <si>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</si>
  <si>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</si>
  <si>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</si>
  <si>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</si>
  <si>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</si>
  <si>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</si>
  <si>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</si>
  <si>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</si>
  <si>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</si>
  <si>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</si>
  <si>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</si>
  <si>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</si>
  <si>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</si>
  <si>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</si>
  <si>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</si>
  <si>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</si>
  <si>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</si>
  <si>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</si>
  <si>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</si>
  <si>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</si>
  <si>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</si>
  <si>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</si>
  <si>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</si>
  <si>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</si>
  <si>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</si>
  <si>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</si>
  <si>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</si>
  <si>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</si>
  <si>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</si>
  <si>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</si>
  <si>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</si>
  <si>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</si>
  <si>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</si>
  <si>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</si>
  <si>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</si>
  <si>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</si>
  <si>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</si>
  <si>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</si>
  <si>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</si>
  <si>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</si>
  <si>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</si>
  <si>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</si>
  <si>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</si>
  <si>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</si>
  <si>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</si>
  <si>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</si>
  <si>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</si>
  <si>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</si>
  <si>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</si>
  <si>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</si>
  <si>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</si>
  <si>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</si>
  <si>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</si>
  <si>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</si>
  <si>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</si>
  <si>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</si>
  <si>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</si>
  <si>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</si>
  <si>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</si>
  <si>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</si>
  <si>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</si>
  <si>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</si>
  <si>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</si>
  <si>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</si>
  <si>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</si>
  <si>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</si>
  <si>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</si>
  <si>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</si>
  <si>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</si>
  <si>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</si>
  <si>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</si>
  <si>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</si>
  <si>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</si>
  <si>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</si>
  <si>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</si>
  <si>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</si>
  <si>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</si>
  <si>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</si>
  <si>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</si>
  <si>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</si>
  <si>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</si>
  <si>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</si>
  <si>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</si>
  <si>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</si>
  <si>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</si>
  <si>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</si>
  <si>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</si>
  <si>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</si>
  <si>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</si>
  <si>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</si>
  <si>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</si>
  <si>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</si>
  <si>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</si>
  <si>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</si>
  <si>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</si>
  <si>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</si>
  <si>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</si>
  <si>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</si>
  <si>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</si>
  <si>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</si>
  <si>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</si>
  <si>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</si>
  <si>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</si>
  <si>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</si>
  <si>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</si>
  <si>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</si>
  <si>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</si>
  <si>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</si>
  <si>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</si>
  <si>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</si>
  <si>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</si>
  <si>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</si>
  <si>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</si>
  <si>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</si>
  <si>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</si>
  <si>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</si>
  <si>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</si>
  <si>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</si>
  <si>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</si>
  <si>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</si>
  <si>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</si>
  <si>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</si>
  <si>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</si>
  <si>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</si>
  <si>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</si>
  <si>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</si>
  <si>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</si>
  <si>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</si>
  <si>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</si>
  <si>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</si>
  <si>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</si>
  <si>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</si>
  <si>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</si>
  <si>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</si>
  <si>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</si>
  <si>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</si>
  <si>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</si>
  <si>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</si>
  <si>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</si>
  <si>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</si>
  <si>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</si>
  <si>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</si>
  <si>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</si>
  <si>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</si>
  <si>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</si>
  <si>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</si>
  <si>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</si>
  <si>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</si>
  <si>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</si>
  <si>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</si>
  <si>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</si>
  <si>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</si>
  <si>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</si>
  <si>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</si>
  <si>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</si>
  <si>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</si>
  <si>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</si>
  <si>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</si>
  <si>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</si>
  <si>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</si>
  <si>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</si>
  <si>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</si>
  <si>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</si>
  <si>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</si>
  <si>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</si>
  <si>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</si>
  <si>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</si>
  <si>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</si>
  <si>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</si>
  <si>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</si>
  <si>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</si>
  <si>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</si>
  <si>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</si>
  <si>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</si>
  <si>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</si>
  <si>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</si>
  <si>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</si>
  <si>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</si>
  <si>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</si>
  <si>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</si>
  <si>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</si>
  <si>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</si>
  <si>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</si>
  <si>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</si>
  <si>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</si>
  <si>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</si>
  <si>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</si>
  <si>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</si>
  <si>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</si>
  <si>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</si>
  <si>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</si>
  <si>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</si>
  <si>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</si>
  <si>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</si>
  <si>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</si>
  <si>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</si>
  <si>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</si>
  <si>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</si>
  <si>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</si>
  <si>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</si>
  <si>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</si>
  <si>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</si>
  <si>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</si>
  <si>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</si>
  <si>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</si>
  <si>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</si>
  <si>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</si>
  <si>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</si>
  <si>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</si>
  <si>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</si>
  <si>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</si>
  <si>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</si>
  <si>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</si>
  <si>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</si>
  <si>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</si>
  <si>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</si>
  <si>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</si>
  <si>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</si>
  <si>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</si>
  <si>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</si>
  <si>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</si>
  <si>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</si>
  <si>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</si>
  <si>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</si>
  <si>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</si>
  <si>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</si>
  <si>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</si>
  <si>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</si>
  <si>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</si>
  <si>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</si>
  <si>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</si>
  <si>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</si>
  <si>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</si>
  <si>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</si>
  <si>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</si>
  <si>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</si>
  <si>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</si>
  <si>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</si>
  <si>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</si>
  <si>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</si>
  <si>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</si>
  <si>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</si>
  <si>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</si>
  <si>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</si>
  <si>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</si>
  <si>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</si>
  <si>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</si>
  <si>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</si>
  <si>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</si>
  <si>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</si>
  <si>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</si>
  <si>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</si>
  <si>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</si>
  <si>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</si>
  <si>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</si>
  <si>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</si>
  <si>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</si>
  <si>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</si>
  <si>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</si>
  <si>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</si>
  <si>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</si>
  <si>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</si>
  <si>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</si>
  <si>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</si>
  <si>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</si>
  <si>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</si>
  <si>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</si>
  <si>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</si>
  <si>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</si>
  <si>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</si>
  <si>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</si>
  <si>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</si>
  <si>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</si>
  <si>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</si>
  <si>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</si>
  <si>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</si>
  <si>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</si>
  <si>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</si>
  <si>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</si>
  <si>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</si>
  <si>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</si>
  <si>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</si>
  <si>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</si>
  <si>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</si>
  <si>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</si>
  <si>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</si>
  <si>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</si>
  <si>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</si>
  <si>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</si>
  <si>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</si>
  <si>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</si>
  <si>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</si>
  <si>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</si>
  <si>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</si>
  <si>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</si>
  <si>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</si>
  <si>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</si>
  <si>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</si>
  <si>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</si>
  <si>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</si>
  <si>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</si>
  <si>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</si>
  <si>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</si>
  <si>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</si>
  <si>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</si>
  <si>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</si>
  <si>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</si>
  <si>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</si>
  <si>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</si>
  <si>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</si>
  <si>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</si>
  <si>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</si>
  <si>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</si>
  <si>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</si>
  <si>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</si>
  <si>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</si>
  <si>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</si>
  <si>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</si>
  <si>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</si>
  <si>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</si>
  <si>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</si>
  <si>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</si>
  <si>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</si>
  <si>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</si>
  <si>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</si>
  <si>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</si>
  <si>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</si>
  <si>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</si>
  <si>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</si>
  <si>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</si>
  <si>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</si>
  <si>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</si>
  <si>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</si>
  <si>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</si>
  <si>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</si>
  <si>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</si>
  <si>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</si>
  <si>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</si>
  <si>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</si>
  <si>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</si>
  <si>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</si>
  <si>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</si>
  <si>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</si>
  <si>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</si>
  <si>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</si>
  <si>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</si>
  <si>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</si>
  <si>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</si>
  <si>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</si>
  <si>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</si>
  <si>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</si>
  <si>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</si>
  <si>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</si>
  <si>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</si>
  <si>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</si>
  <si>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</si>
  <si>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</si>
  <si>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</si>
  <si>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</si>
  <si>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</si>
  <si>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</si>
  <si>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</si>
  <si>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</si>
  <si>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</si>
  <si>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</si>
  <si>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</si>
  <si>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</si>
  <si>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</si>
  <si>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</si>
  <si>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</si>
  <si>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</si>
  <si>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</si>
  <si>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</si>
  <si>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</si>
  <si>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</si>
  <si>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</si>
  <si>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</si>
  <si>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</si>
  <si>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</si>
  <si>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</si>
  <si>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</si>
  <si>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</si>
  <si>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</si>
  <si>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</si>
  <si>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</si>
  <si>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</si>
  <si>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</si>
  <si>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</si>
  <si>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</si>
  <si>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</si>
  <si>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</si>
  <si>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</si>
  <si>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</si>
  <si>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</si>
  <si>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</si>
  <si>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</si>
  <si>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</si>
  <si>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</si>
  <si>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</si>
  <si>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</si>
  <si>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</si>
  <si>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</si>
  <si>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</si>
  <si>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</si>
  <si>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</si>
  <si>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</si>
  <si>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</si>
  <si>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</si>
  <si>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</si>
  <si>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</si>
  <si>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</si>
  <si>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</si>
  <si>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</si>
  <si>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</si>
  <si>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</si>
  <si>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</si>
  <si>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</si>
  <si>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</si>
  <si>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</si>
  <si>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</si>
  <si>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</si>
  <si>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</si>
  <si>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</si>
  <si>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</si>
  <si>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</si>
  <si>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</si>
  <si>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</si>
  <si>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</si>
  <si>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</si>
  <si>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</si>
  <si>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</si>
  <si>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</si>
  <si>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</si>
  <si>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</si>
  <si>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</si>
  <si>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</si>
  <si>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</si>
  <si>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</si>
  <si>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</si>
  <si>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</si>
  <si>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</si>
  <si>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</si>
  <si>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</si>
  <si>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</si>
  <si>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</si>
  <si>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</si>
  <si>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</si>
  <si>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</si>
  <si>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</si>
  <si>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</si>
  <si>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</si>
  <si>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</si>
  <si>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</si>
  <si>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</si>
  <si>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</si>
  <si>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</si>
  <si>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</si>
  <si>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</si>
  <si>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</si>
  <si>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</si>
  <si>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</si>
  <si>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</si>
  <si>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</si>
  <si>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</si>
  <si>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</si>
  <si>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</si>
  <si>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</si>
  <si>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</si>
  <si>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</si>
  <si>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</si>
  <si>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</si>
  <si>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</si>
  <si>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</si>
  <si>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</si>
  <si>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</si>
  <si>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</si>
  <si>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</si>
  <si>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</si>
  <si>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</si>
  <si>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</si>
  <si>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</si>
  <si>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</si>
  <si>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</si>
  <si>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</si>
  <si>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</si>
  <si>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</si>
  <si>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</si>
  <si>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</si>
  <si>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</si>
  <si>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</si>
  <si>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</si>
  <si>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</si>
  <si>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</si>
  <si>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</si>
  <si>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</si>
  <si>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</si>
  <si>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</si>
  <si>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</si>
  <si>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</si>
  <si>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</si>
  <si>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</si>
  <si>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</si>
  <si>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</si>
  <si>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</si>
  <si>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</si>
  <si>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</si>
  <si>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</si>
  <si>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</si>
  <si>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</si>
  <si>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</si>
  <si>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</si>
  <si>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</si>
  <si>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</si>
  <si>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</si>
  <si>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</si>
  <si>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</si>
  <si>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</si>
  <si>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</si>
  <si>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</si>
  <si>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</si>
  <si>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</si>
  <si>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</si>
  <si>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</si>
  <si>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</si>
  <si>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</si>
  <si>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</si>
  <si>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</si>
  <si>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</si>
  <si>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</si>
  <si>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</si>
  <si>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</si>
  <si>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</si>
  <si>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</si>
  <si>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</si>
  <si>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</si>
  <si>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</si>
  <si>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</si>
  <si>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</si>
  <si>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</si>
  <si>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</si>
  <si>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</si>
  <si>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</si>
  <si>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</si>
  <si>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</si>
  <si>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</si>
  <si>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</si>
  <si>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</si>
  <si>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</si>
  <si>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</si>
  <si>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</si>
  <si>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</si>
  <si>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</si>
  <si>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</si>
  <si>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</si>
  <si>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</si>
  <si>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</si>
  <si>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</si>
  <si>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</si>
  <si>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</si>
  <si>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</si>
  <si>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</si>
  <si>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</si>
  <si>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</si>
  <si>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</si>
  <si>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</si>
  <si>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</si>
  <si>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</si>
  <si>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</si>
  <si>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</si>
  <si>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</si>
  <si>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</si>
  <si>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</si>
  <si>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</si>
  <si>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</si>
  <si>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</si>
  <si>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</si>
  <si>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</si>
  <si>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</si>
  <si>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</si>
  <si>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</si>
  <si>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</si>
  <si>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</si>
  <si>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</si>
  <si>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</si>
  <si>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</si>
  <si>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</si>
  <si>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</si>
  <si>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</si>
  <si>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</si>
  <si>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</si>
  <si>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</si>
  <si>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</si>
  <si>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</si>
  <si>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</si>
  <si>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</si>
  <si>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</si>
  <si>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</si>
  <si>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</si>
  <si>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</si>
  <si>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</si>
  <si>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</si>
  <si>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</si>
  <si>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</si>
  <si>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</si>
  <si>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</si>
  <si>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</si>
  <si>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</si>
  <si>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</si>
  <si>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</si>
  <si>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</si>
  <si>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</si>
  <si>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</si>
  <si>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</si>
  <si>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</si>
  <si>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</si>
  <si>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</si>
  <si>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</si>
  <si>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</si>
  <si>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</si>
  <si>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</si>
  <si>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</si>
  <si>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</si>
  <si>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</si>
  <si>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</si>
  <si>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</si>
  <si>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</si>
  <si>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</si>
  <si>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</si>
  <si>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</si>
  <si>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</si>
  <si>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</si>
  <si>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</si>
  <si>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</si>
  <si>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</si>
  <si>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</si>
  <si>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</si>
  <si>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</si>
  <si>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</si>
  <si>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</si>
  <si>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</si>
  <si>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</si>
  <si>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</si>
  <si>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</si>
  <si>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</si>
  <si>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</si>
  <si>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</si>
  <si>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</si>
  <si>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</si>
  <si>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</si>
  <si>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</si>
  <si>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</si>
  <si>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</si>
  <si>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</si>
  <si>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</si>
  <si>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</si>
  <si>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</si>
  <si>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</si>
  <si>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</si>
  <si>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</si>
  <si>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</si>
  <si>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</si>
  <si>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</si>
  <si>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</si>
  <si>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</si>
  <si>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</si>
  <si>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</si>
  <si>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</si>
  <si>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</si>
  <si>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</si>
  <si>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</si>
  <si>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</si>
  <si>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</si>
  <si>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</si>
  <si>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</si>
  <si>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</si>
  <si>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</si>
  <si>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</si>
  <si>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</si>
  <si>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</si>
  <si>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</si>
  <si>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</si>
  <si>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</si>
  <si>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</si>
  <si>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</si>
  <si>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</si>
  <si>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</si>
  <si>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</si>
  <si>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</si>
  <si>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</si>
  <si>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</si>
  <si>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</si>
  <si>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</si>
  <si>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</si>
  <si>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</si>
  <si>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</si>
  <si>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</si>
  <si>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</si>
  <si>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</si>
  <si>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</si>
  <si>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</si>
  <si>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</si>
  <si>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</si>
  <si>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</si>
  <si>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</si>
  <si>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</si>
  <si>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</si>
  <si>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</si>
  <si>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</si>
  <si>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</si>
  <si>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</si>
  <si>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</si>
  <si>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</si>
  <si>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</si>
  <si>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</si>
  <si>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</si>
  <si>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</si>
  <si>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</si>
  <si>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</si>
  <si>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</si>
  <si>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</si>
  <si>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</si>
  <si>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</si>
  <si>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</si>
  <si>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</si>
  <si>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</si>
  <si>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</si>
  <si>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</si>
  <si>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</si>
  <si>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</si>
  <si>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</si>
  <si>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</si>
  <si>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</si>
  <si>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</si>
  <si>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</si>
  <si>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</si>
  <si>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</si>
  <si>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</si>
  <si>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</si>
  <si>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</si>
  <si>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</si>
  <si>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</si>
  <si>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</si>
  <si>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</si>
  <si>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</si>
  <si>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</si>
  <si>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</si>
  <si>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</si>
  <si>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</si>
  <si>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</si>
  <si>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</si>
  <si>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</si>
  <si>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</si>
  <si>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</si>
  <si>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</si>
  <si>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</si>
  <si>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</si>
  <si>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</si>
  <si>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</si>
  <si>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</si>
  <si>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</si>
  <si>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</si>
  <si>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</si>
  <si>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</si>
  <si>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</si>
  <si>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</si>
  <si>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</si>
  <si>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</si>
  <si>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</si>
  <si>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</si>
  <si>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</si>
  <si>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</si>
  <si>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</si>
  <si>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</si>
  <si>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</si>
  <si>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</si>
  <si>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</si>
  <si>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</si>
  <si>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</si>
  <si>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</si>
  <si>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</si>
  <si>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</si>
  <si>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</si>
  <si>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</si>
  <si>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</si>
  <si>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</si>
  <si>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</si>
  <si>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</si>
  <si>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</si>
  <si>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</si>
  <si>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</si>
  <si>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</si>
  <si>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</si>
  <si>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</si>
  <si>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</si>
  <si>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</si>
  <si>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</si>
  <si>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</si>
  <si>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</si>
  <si>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</si>
  <si>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</si>
  <si>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</si>
  <si>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</si>
  <si>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</si>
  <si>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</si>
  <si>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</si>
  <si>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</si>
  <si>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</si>
  <si>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</si>
  <si>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</si>
  <si>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</si>
  <si>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</si>
  <si>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</si>
  <si>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</si>
  <si>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</si>
  <si>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</si>
  <si>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</si>
  <si>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</si>
  <si>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</si>
  <si>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</si>
  <si>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</si>
  <si>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</si>
  <si>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</si>
  <si>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</si>
  <si>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</si>
  <si>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</si>
  <si>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</si>
  <si>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</si>
  <si>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</si>
  <si>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</si>
  <si>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</si>
  <si>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</si>
  <si>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</si>
  <si>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</si>
  <si>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</si>
  <si>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</si>
  <si>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</si>
  <si>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</si>
  <si>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</si>
  <si>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</si>
  <si>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</si>
  <si>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</si>
  <si>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</si>
  <si>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</si>
  <si>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</si>
  <si>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</si>
  <si>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</si>
  <si>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</si>
  <si>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</si>
  <si>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</si>
  <si>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</si>
  <si>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</si>
  <si>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</si>
  <si>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</si>
  <si>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</si>
  <si>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</si>
  <si>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</si>
  <si>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</si>
  <si>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</si>
  <si>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</si>
  <si>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</si>
  <si>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</si>
  <si>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</si>
  <si>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</si>
  <si>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</si>
  <si>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</si>
  <si>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</si>
  <si>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</si>
  <si>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</si>
  <si>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</si>
  <si>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</si>
  <si>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</si>
  <si>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</si>
  <si>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</si>
  <si>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</si>
  <si>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</si>
  <si>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</si>
  <si>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</si>
  <si>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</si>
  <si>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</si>
  <si>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</si>
  <si>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</si>
  <si>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</si>
  <si>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</si>
  <si>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</si>
  <si>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</si>
  <si>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</si>
  <si>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</si>
  <si>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</si>
  <si>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</si>
  <si>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</si>
  <si>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</si>
  <si>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</si>
  <si>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</si>
  <si>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</si>
  <si>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</si>
  <si>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</si>
  <si>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</si>
  <si>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</si>
  <si>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</si>
  <si>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</si>
  <si>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</si>
  <si>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</si>
  <si>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</si>
  <si>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</si>
  <si>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</si>
  <si>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</si>
  <si>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</si>
  <si>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</si>
  <si>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</si>
  <si>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</si>
  <si>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</si>
  <si>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</si>
  <si>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</si>
  <si>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</si>
  <si>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</si>
  <si>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</si>
  <si>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</si>
  <si>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</si>
  <si>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</si>
  <si>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</si>
  <si>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</si>
  <si>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</si>
  <si>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</si>
  <si>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</si>
  <si>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</si>
  <si>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</si>
  <si>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</si>
  <si>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</si>
  <si>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</si>
  <si>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</si>
  <si>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</si>
  <si>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</si>
  <si>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</si>
  <si>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</si>
  <si>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</si>
  <si>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</si>
  <si>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</si>
  <si>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</si>
  <si>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</si>
  <si>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</si>
  <si>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</si>
  <si>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</si>
  <si>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</si>
  <si>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</si>
  <si>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</si>
  <si>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</si>
  <si>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</si>
  <si>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</si>
  <si>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</si>
  <si>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</si>
  <si>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</si>
  <si>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</si>
  <si>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</si>
  <si>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</si>
  <si>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</si>
  <si>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</si>
  <si>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</si>
  <si>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</si>
  <si>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</si>
  <si>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</si>
  <si>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</si>
  <si>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</si>
  <si>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</si>
  <si>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</si>
  <si>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</si>
  <si>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</si>
  <si>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</si>
  <si>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</si>
  <si>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</si>
  <si>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</si>
  <si>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</si>
  <si>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</si>
  <si>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</si>
  <si>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</si>
  <si>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</si>
  <si>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</si>
  <si>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</si>
  <si>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</si>
  <si>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</si>
  <si>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</si>
  <si>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</si>
  <si>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</si>
  <si>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</si>
  <si>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</si>
  <si>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</si>
  <si>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</si>
  <si>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</si>
  <si>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</si>
  <si>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</si>
  <si>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</si>
  <si>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</si>
  <si>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</si>
  <si>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</si>
  <si>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</si>
  <si>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</si>
  <si>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</si>
  <si>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</si>
  <si>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</si>
  <si>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</si>
  <si>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</si>
  <si>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</si>
  <si>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</si>
  <si>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</si>
  <si>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</si>
  <si>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</si>
  <si>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</si>
  <si>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</si>
  <si>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</si>
  <si>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</si>
  <si>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</si>
  <si>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</si>
  <si>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</si>
  <si>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</si>
  <si>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</si>
  <si>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</si>
  <si>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</si>
  <si>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</si>
  <si>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</si>
  <si>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</si>
  <si>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</si>
  <si>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</si>
  <si>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</si>
  <si>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</si>
  <si>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</si>
  <si>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</si>
  <si>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</si>
  <si>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</si>
  <si>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</si>
  <si>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</si>
  <si>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</si>
  <si>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</si>
  <si>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</si>
  <si>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</si>
  <si>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</si>
  <si>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</si>
  <si>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</si>
  <si>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</si>
  <si>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</si>
  <si>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</si>
  <si>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</si>
  <si>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</si>
  <si>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</si>
  <si>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</si>
  <si>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</si>
  <si>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</si>
  <si>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</si>
  <si>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</si>
  <si>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</si>
  <si>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</si>
  <si>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</si>
  <si>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</si>
  <si>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</si>
  <si>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</si>
  <si>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</si>
  <si>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</si>
  <si>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</si>
  <si>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</si>
  <si>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</si>
  <si>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</si>
  <si>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</si>
  <si>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</si>
  <si>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</si>
  <si>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</si>
  <si>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</si>
  <si>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</si>
  <si>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</si>
  <si>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</si>
  <si>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</si>
  <si>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</si>
  <si>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</si>
  <si>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</si>
  <si>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</si>
  <si>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</si>
  <si>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</si>
  <si>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</si>
  <si>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</si>
  <si>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</si>
  <si>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</si>
  <si>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</si>
  <si>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</si>
  <si>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</si>
  <si>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</si>
  <si>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</si>
  <si>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</si>
  <si>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</si>
  <si>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</si>
  <si>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</si>
  <si>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</si>
  <si>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</si>
  <si>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</si>
  <si>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</si>
  <si>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</si>
  <si>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</si>
  <si>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</si>
  <si>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</si>
  <si>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</si>
  <si>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</si>
  <si>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</si>
  <si>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</si>
  <si>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</si>
  <si>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</si>
  <si>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</si>
  <si>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</si>
  <si>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</si>
  <si>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</si>
  <si>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</si>
  <si>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</si>
  <si>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</si>
  <si>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</si>
  <si>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</si>
  <si>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</si>
  <si>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</si>
  <si>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</si>
  <si>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</si>
  <si>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</si>
  <si>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</si>
  <si>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</si>
  <si>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</si>
  <si>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</si>
  <si>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</si>
  <si>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</si>
  <si>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</si>
  <si>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</si>
  <si>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</si>
  <si>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</si>
  <si>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</si>
  <si>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</si>
  <si>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</si>
  <si>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</si>
  <si>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</si>
  <si>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</si>
  <si>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</si>
  <si>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</si>
  <si>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</si>
  <si>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</si>
  <si>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</si>
  <si>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</si>
  <si>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</si>
  <si>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</si>
  <si>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</si>
  <si>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</si>
  <si>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</si>
  <si>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</si>
  <si>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</si>
  <si>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</si>
  <si>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</si>
  <si>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</si>
  <si>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</si>
  <si>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</si>
  <si>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</si>
  <si>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</si>
  <si>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</si>
  <si>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</si>
  <si>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</si>
  <si>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</si>
  <si>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</si>
  <si>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</si>
  <si>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</si>
  <si>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</si>
  <si>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</si>
  <si>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</si>
  <si>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</si>
  <si>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</si>
  <si>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</si>
  <si>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</si>
  <si>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</si>
  <si>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</si>
  <si>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</si>
  <si>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</si>
  <si>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</si>
  <si>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</si>
  <si>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</si>
  <si>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</si>
  <si>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</si>
  <si>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</si>
  <si>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</si>
  <si>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</si>
  <si>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</si>
  <si>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</si>
  <si>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</si>
  <si>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</si>
  <si>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</si>
  <si>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</si>
  <si>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</si>
  <si>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</si>
  <si>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</si>
  <si>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</si>
  <si>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</si>
  <si>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</si>
  <si>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</si>
  <si>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</si>
  <si>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</si>
  <si>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</si>
  <si>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</si>
  <si>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</si>
  <si>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</si>
  <si>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</si>
  <si>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</si>
  <si>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</si>
  <si>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</si>
  <si>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</si>
  <si>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</si>
  <si>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</si>
  <si>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</si>
  <si>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</si>
  <si>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</si>
  <si>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</si>
  <si>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</si>
  <si>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</si>
  <si>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</si>
  <si>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</si>
  <si>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</si>
  <si>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</si>
  <si>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</si>
  <si>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</si>
  <si>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</si>
  <si>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</si>
  <si>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</si>
  <si>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</si>
  <si>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</si>
  <si>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</si>
  <si>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</si>
  <si>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</si>
  <si>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</si>
  <si>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</si>
  <si>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</si>
  <si>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</si>
  <si>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</si>
  <si>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</si>
  <si>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</si>
  <si>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</si>
  <si>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</si>
  <si>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</si>
  <si>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</si>
  <si>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</si>
  <si>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</si>
  <si>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</si>
  <si>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</si>
  <si>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</si>
  <si>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</si>
  <si>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</si>
  <si>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</si>
  <si>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</si>
  <si>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</si>
  <si>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</si>
  <si>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</si>
  <si>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</si>
  <si>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</si>
  <si>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</si>
  <si>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</si>
  <si>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</si>
  <si>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</si>
  <si>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</si>
  <si>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</si>
  <si>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</si>
  <si>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</si>
  <si>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</si>
  <si>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</si>
  <si>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</si>
  <si>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</si>
  <si>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</si>
  <si>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</si>
  <si>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</si>
  <si>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</si>
  <si>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</si>
  <si>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</si>
  <si>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</si>
  <si>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</si>
  <si>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</si>
  <si>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</si>
  <si>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</si>
  <si>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</si>
  <si>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</si>
  <si>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</si>
  <si>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</si>
  <si>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</si>
  <si>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</si>
  <si>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</si>
  <si>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</si>
  <si>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</si>
  <si>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</si>
  <si>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</si>
  <si>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</si>
  <si>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</si>
  <si>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</si>
  <si>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</si>
  <si>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</si>
  <si>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</si>
  <si>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</si>
  <si>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</si>
  <si>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</si>
  <si>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</si>
  <si>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</si>
  <si>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</si>
  <si>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</si>
  <si>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</si>
  <si>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</si>
  <si>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</si>
  <si>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</si>
  <si>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</si>
  <si>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</si>
  <si>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</si>
  <si>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</si>
  <si>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</si>
  <si>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</si>
  <si>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</si>
  <si>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</si>
  <si>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</si>
  <si>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</si>
  <si>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</si>
  <si>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</si>
  <si>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</si>
  <si>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</si>
  <si>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</si>
  <si>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</si>
  <si>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</si>
  <si>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</si>
  <si>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</si>
  <si>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</si>
  <si>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</si>
  <si>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</si>
  <si>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</si>
  <si>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</si>
  <si>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</si>
  <si>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</si>
  <si>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</si>
  <si>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</si>
  <si>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</si>
  <si>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</si>
  <si>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</si>
  <si>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</si>
  <si>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</si>
  <si>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</si>
  <si>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</si>
  <si>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</si>
  <si>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</si>
  <si>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</si>
  <si>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</si>
  <si>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</si>
  <si>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</si>
  <si>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</si>
  <si>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</si>
  <si>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</si>
  <si>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</si>
  <si>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</si>
  <si>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</si>
  <si>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</si>
  <si>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</si>
  <si>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</si>
  <si>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</si>
  <si>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</si>
  <si>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</si>
  <si>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</si>
  <si>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</si>
  <si>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</si>
  <si>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</si>
  <si>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</si>
  <si>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</si>
  <si>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</si>
  <si>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</si>
  <si>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</si>
  <si>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</si>
  <si>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</si>
  <si>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</si>
  <si>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</si>
  <si>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</si>
  <si>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</si>
  <si>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</si>
  <si>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</si>
  <si>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</si>
  <si>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</si>
  <si>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</si>
  <si>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</si>
  <si>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</si>
  <si>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</si>
  <si>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</si>
  <si>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</si>
  <si>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</si>
  <si>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</si>
  <si>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</si>
  <si>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</si>
  <si>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</si>
  <si>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</si>
  <si>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</si>
  <si>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</si>
  <si>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</si>
  <si>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</si>
  <si>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</si>
  <si>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</si>
  <si>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</si>
  <si>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</si>
  <si>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</si>
  <si>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</si>
  <si>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</si>
  <si>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</si>
  <si>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</si>
  <si>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</si>
  <si>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</si>
  <si>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</si>
  <si>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</si>
  <si>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</si>
  <si>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</si>
  <si>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</si>
  <si>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</si>
  <si>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</si>
  <si>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</si>
  <si>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</si>
  <si>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</si>
  <si>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</si>
  <si>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</si>
  <si>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</si>
  <si>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</si>
  <si>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</si>
  <si>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</si>
  <si>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</si>
  <si>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</si>
  <si>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</si>
  <si>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</si>
  <si>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</si>
  <si>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</si>
  <si>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</si>
  <si>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</si>
  <si>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</si>
  <si>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</si>
  <si>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</si>
  <si>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</si>
  <si>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</si>
  <si>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</si>
  <si>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</si>
  <si>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</si>
  <si>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</si>
  <si>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</si>
  <si>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</si>
  <si>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</si>
  <si>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</si>
  <si>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</si>
  <si>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</si>
  <si>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</si>
  <si>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</si>
  <si>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</si>
  <si>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</si>
  <si>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</si>
  <si>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</si>
  <si>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</si>
  <si>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</si>
  <si>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</si>
  <si>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</si>
  <si>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</si>
  <si>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</si>
  <si>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</si>
  <si>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</si>
  <si>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</si>
  <si>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</si>
  <si>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</si>
  <si>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</si>
  <si>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</si>
  <si>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</si>
  <si>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</si>
  <si>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</si>
  <si>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</si>
  <si>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</si>
  <si>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</si>
  <si>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</si>
  <si>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</si>
  <si>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</si>
  <si>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</si>
  <si>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</si>
  <si>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</si>
  <si>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</si>
  <si>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</si>
  <si>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</si>
  <si>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</si>
  <si>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</si>
  <si>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</si>
  <si>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</si>
  <si>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</si>
  <si>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</si>
  <si>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</si>
  <si>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</si>
  <si>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</si>
  <si>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</si>
  <si>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</si>
  <si>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</si>
  <si>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</si>
  <si>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</si>
  <si>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</si>
  <si>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</si>
  <si>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</si>
  <si>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</si>
  <si>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</si>
  <si>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</si>
  <si>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</si>
  <si>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</si>
  <si>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</si>
  <si>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</si>
  <si>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</si>
  <si>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</si>
  <si>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</si>
  <si>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</si>
  <si>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</si>
  <si>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</si>
  <si>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</si>
  <si>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</si>
  <si>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</si>
  <si>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</si>
  <si>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</si>
  <si>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</si>
  <si>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</si>
  <si>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</si>
  <si>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</si>
  <si>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</si>
  <si>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</si>
  <si>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</si>
  <si>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</si>
  <si>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</si>
  <si>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</si>
  <si>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</si>
  <si>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</si>
  <si>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</si>
  <si>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</si>
  <si>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</si>
  <si>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</si>
  <si>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</si>
  <si>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</si>
  <si>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</si>
  <si>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</si>
  <si>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</si>
  <si>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</si>
  <si>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</si>
  <si>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</si>
  <si>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</si>
  <si>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</si>
  <si>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</si>
  <si>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 xml:space="preserve">Polyline break </t>
  </si>
  <si>
    <t>Bing Maps route detail level</t>
  </si>
  <si>
    <t>[1, 20]</t>
  </si>
  <si>
    <t>[5, 200]</t>
  </si>
  <si>
    <t>[0, 10]</t>
  </si>
  <si>
    <t>Please enter an integer from 0 to 10</t>
  </si>
  <si>
    <t>Lütfen 0 ile 10 arasında bir tam sayı girin</t>
  </si>
  <si>
    <t>Bing Haritalar rota ayrıntı düzeyi</t>
  </si>
  <si>
    <t xml:space="preserve">Çoklu çizgi sonu </t>
  </si>
  <si>
    <t>Bitte geben Sie eine ganze Zahl von 0 bis 10 ein</t>
  </si>
  <si>
    <t>Polylinienbruch</t>
  </si>
  <si>
    <t>Detailebene der Bing Maps-Route</t>
  </si>
  <si>
    <t>Ingrese un número entero de 0 a 10</t>
  </si>
  <si>
    <t>Rotura de polilínea</t>
  </si>
  <si>
    <t>Nivel de detalle de la ruta de Bing Maps</t>
  </si>
  <si>
    <t>Veuillez saisir un nombre entier de 0 à 10</t>
  </si>
  <si>
    <t>Rupture de polyligne</t>
  </si>
  <si>
    <t>Niveau de détail de l'itinéraire Bing Maps</t>
  </si>
  <si>
    <t>Per favore inserisci un numero intero da 0 a 10</t>
  </si>
  <si>
    <t>Interruzione polilinea</t>
  </si>
  <si>
    <t>Livello di dettaglio del percorso di Bing Maps</t>
  </si>
  <si>
    <t>Sì</t>
  </si>
  <si>
    <t>Insira um número inteiro de 0 a 10</t>
  </si>
  <si>
    <t>Quebra de polilinha</t>
  </si>
  <si>
    <t>Nível de detalhe da rota do Bing Maps</t>
  </si>
  <si>
    <t>الرجاء إدخال عدد صحيح من 0 إلى 10</t>
  </si>
  <si>
    <t>كسر متعدد الخطوط</t>
  </si>
  <si>
    <t>مستوى تفاصيل مسار خرائط Bing</t>
  </si>
  <si>
    <t>Harap masukkan bilangan bulat dari 0 hingga 10</t>
  </si>
  <si>
    <t>istirahat polyline</t>
  </si>
  <si>
    <t>Tingkat detail rute Bing Maps</t>
  </si>
  <si>
    <t>براہ کرم 0 سے 10 تک ایک عددی درج کریں</t>
  </si>
  <si>
    <t>پولی لائن کا توڑ</t>
  </si>
  <si>
    <t>بنگ میپس کے راستے کی تفصیل کی سطح</t>
  </si>
  <si>
    <t>দয়া করে 0 থেকে 10 পর্যন্ত পূর্ণসংখ্যা প্রবেশ করান</t>
  </si>
  <si>
    <t>পললাইন বিরতি</t>
  </si>
  <si>
    <t>বিং মানচিত্রের রুটের বিশদ স্তর</t>
  </si>
  <si>
    <t>Tafadhali ingiza nambari kamili kutoka 0 hadi 10</t>
  </si>
  <si>
    <t>Polyline kuvunja</t>
  </si>
  <si>
    <t>Kiwango cha maelezo ya njia ya Ramani za Bing</t>
  </si>
  <si>
    <t>لطفاً یک عدد صحیح از 0 تا 10 وارد کنید</t>
  </si>
  <si>
    <t>استراحت پلی لاین</t>
  </si>
  <si>
    <t>سطح جزئیات مسیر Bing Maps</t>
  </si>
  <si>
    <t>Sila masukkan bilangan bulat dari 0 hingga 10</t>
  </si>
  <si>
    <t>Pecahan polyline</t>
  </si>
  <si>
    <t>Tahap perincian laluan Peta Bing</t>
  </si>
  <si>
    <t>All</t>
  </si>
  <si>
    <t>Semua</t>
  </si>
  <si>
    <t>همه</t>
  </si>
  <si>
    <t>Wote</t>
  </si>
  <si>
    <t>সব</t>
  </si>
  <si>
    <t>سب</t>
  </si>
  <si>
    <t>الجميع</t>
  </si>
  <si>
    <t>Tudo</t>
  </si>
  <si>
    <t>Tutto</t>
  </si>
  <si>
    <t>Toute</t>
  </si>
  <si>
    <t>Todos</t>
  </si>
  <si>
    <t>Alle</t>
  </si>
  <si>
    <t>Tümü</t>
  </si>
  <si>
    <t>Display</t>
  </si>
  <si>
    <t>Paparan</t>
  </si>
  <si>
    <t>نمایش دادن</t>
  </si>
  <si>
    <t>Onyesha</t>
  </si>
  <si>
    <t>প্রদর্শন</t>
  </si>
  <si>
    <t>ڈسپلے</t>
  </si>
  <si>
    <t>Menampilkan</t>
  </si>
  <si>
    <t>عرض</t>
  </si>
  <si>
    <t>Mostrar</t>
  </si>
  <si>
    <t>Schermo</t>
  </si>
  <si>
    <t>Afficher</t>
  </si>
  <si>
    <t>Anzeige</t>
  </si>
  <si>
    <t>Görüntüle</t>
  </si>
  <si>
    <t>Developed by Dr Güneş Erdoğan, 2020.</t>
  </si>
  <si>
    <t>School of Management, University of Bath.</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</si>
  <si>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</si>
  <si>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 exceeds its capacity.</t>
  </si>
  <si>
    <t xml:space="preserve"> überschreitet seine Kapazität.</t>
  </si>
  <si>
    <t xml:space="preserve"> kapasitesini aşıyor.</t>
  </si>
  <si>
    <t xml:space="preserve"> excede su capacidad.</t>
  </si>
  <si>
    <t xml:space="preserve"> dépasse sa capacité.</t>
  </si>
  <si>
    <t xml:space="preserve"> supera la sua capacità.</t>
  </si>
  <si>
    <t xml:space="preserve"> excede sua capacidade.</t>
  </si>
  <si>
    <t>يفوق قدرتها.</t>
  </si>
  <si>
    <t>melebihi kapasitasnya.</t>
  </si>
  <si>
    <t>اپنی صلاحیت سے زیادہ</t>
  </si>
  <si>
    <t>তার ধারণক্ষমতা অতিক্রম করে।</t>
  </si>
  <si>
    <t xml:space="preserve"> huzidi uwezo wake.</t>
  </si>
  <si>
    <t>بیش از ظرفیت خود است</t>
  </si>
  <si>
    <t xml:space="preserve"> melebihi kemampuannya.</t>
  </si>
  <si>
    <t>5.2. Animate Visualization Worksheet</t>
  </si>
  <si>
    <t>customButton17</t>
  </si>
  <si>
    <t>5.2. Görselleştirme Çalışma Sayfasını Canlandır</t>
  </si>
  <si>
    <t>5.2. Arbeitsblatt zur Visualisierung animieren</t>
  </si>
  <si>
    <t>5.2. Hoja de trabajo de visualización animada</t>
  </si>
  <si>
    <t>5.2. Feuille de travail de visualisation animée</t>
  </si>
  <si>
    <t>5.2. Foglio di lavoro per la visualizzazione animata</t>
  </si>
  <si>
    <t>5.2. Planilha de visualização do Animate</t>
  </si>
  <si>
    <t>5.2 تحريك ورقة عمل التصور</t>
  </si>
  <si>
    <t>5.2. Lembar Kerja Visualisasi Animasi</t>
  </si>
  <si>
    <t>5.2۔ اینیمیٹ ویزولائزیشن ورک شیٹ۔</t>
  </si>
  <si>
    <t>5.2। অ্যানিমেট ভিজুয়ালাইজেশন ওয়ার্কশীট</t>
  </si>
  <si>
    <t>5.2. Kuhuisha Karatasi ya Utaftaji</t>
  </si>
  <si>
    <t>5.2 کاربرگ تجسم سازی متحرک</t>
  </si>
  <si>
    <t>5.2. Lembaran Kerja Visualisasi Animasi</t>
  </si>
  <si>
    <t>Visualization worksheet setup complete.</t>
  </si>
  <si>
    <t>Animation complete.</t>
  </si>
  <si>
    <t xml:space="preserve">, step </t>
  </si>
  <si>
    <t xml:space="preserve">, vehicle </t>
  </si>
  <si>
    <t xml:space="preserve">, vehicle type </t>
  </si>
  <si>
    <t xml:space="preserve">This will take up to </t>
  </si>
  <si>
    <t xml:space="preserve"> seconds. You can speed up the animation by pressing (or holding down) the &lt;Esc&gt; key. Do you want to continue?</t>
  </si>
  <si>
    <t>Worksheet 5.Visualization must exist for the solution worksheet to be created.</t>
  </si>
  <si>
    <t>Penyediaan lembaran kerja visualisasi selesai.</t>
  </si>
  <si>
    <t>Animasi selesai.</t>
  </si>
  <si>
    <t>, langkah</t>
  </si>
  <si>
    <t>, kenderaan</t>
  </si>
  <si>
    <t>, jenis kenderaan</t>
  </si>
  <si>
    <t>Ini akan memakan masa sehingga</t>
  </si>
  <si>
    <t xml:space="preserve">  saat. Anda boleh mempercepat animasi dengan menekan (atau menahan) kekunci &lt;Esc&gt;. Adakah anda mahu meneruskan?</t>
  </si>
  <si>
    <t>Lembaran Kerja 5. Visualisasi mesti ada agar lembaran kerja penyelesaian dibuat.</t>
  </si>
  <si>
    <t>تنظیم کاربرگ تجسم کامل شد.</t>
  </si>
  <si>
    <t>انیمیشن کامل شد.</t>
  </si>
  <si>
    <t>، گام</t>
  </si>
  <si>
    <t>، وسیله نقلیه</t>
  </si>
  <si>
    <t>، نوع وسیله نقلیه</t>
  </si>
  <si>
    <t>این کار تا</t>
  </si>
  <si>
    <t xml:space="preserve">  ثانیه می توانید با فشار دادن (یا نگه داشتن) کلید &lt;Esc&gt; سرعت حرکت را افزایش دهید. می خواهید ادامه دهید؟</t>
  </si>
  <si>
    <t>کاربرگ 5. برای ایجاد کاربرگ راه حل باید تجسم وجود داشته باشد.</t>
  </si>
  <si>
    <t>Usanidi wa karatasi ya taswira umekamilika.</t>
  </si>
  <si>
    <t>Uhuishaji umekamilika.</t>
  </si>
  <si>
    <t>, hatua</t>
  </si>
  <si>
    <t>, gari</t>
  </si>
  <si>
    <t>, gari aina</t>
  </si>
  <si>
    <t>Hii itachukua hadi</t>
  </si>
  <si>
    <t xml:space="preserve">  sekunde. Unaweza kuharakisha uhuishaji kwa kubonyeza (au kushikilia) kitufe cha &lt;Esc&gt;. Je! Unataka kuendelea?</t>
  </si>
  <si>
    <t>Karatasi ya kazi 5. Uhakiki lazima uwepo ili karatasi ya suluhisho iundwe.</t>
  </si>
  <si>
    <t>ভিজ্যুয়ালাইজেশন ওয়ার্কশীট সেটআপ সম্পূর্ণ।</t>
  </si>
  <si>
    <t>অ্যানিমেশন সম্পূর্ণ।</t>
  </si>
  <si>
    <t>, ধাপ</t>
  </si>
  <si>
    <t>, যানবাহন</t>
  </si>
  <si>
    <t>, গাড়ির ধরন</t>
  </si>
  <si>
    <t>এই পর্যন্ত লাগবে</t>
  </si>
  <si>
    <t xml:space="preserve">  সেকেন্ড আপনি &lt;Esc&gt; কী টিপে (বা চেপে ধরে) অ্যানিমেশনের গতি বাড়িয়ে দিতে পারেন। আপনি কি অবিরত করতে চান?</t>
  </si>
  <si>
    <t>ওয়ার্কশীট 5. সমাধান কার্যপত্রক তৈরির জন্য ভিজ্যুয়ালাইজেশন থাকতে হবে।</t>
  </si>
  <si>
    <t>ویژولائزیشن ورک شیٹ سیٹ اپ مکمل۔</t>
  </si>
  <si>
    <t>حرکت پذیری مکمل</t>
  </si>
  <si>
    <t>، قدم</t>
  </si>
  <si>
    <t>، گاڑی</t>
  </si>
  <si>
    <t>، گاڑی کی قسم</t>
  </si>
  <si>
    <t>یہ تک لے جائے گا</t>
  </si>
  <si>
    <t xml:space="preserve">  سیکنڈ آپ &lt;Esc&gt; کی کو دباکر (یا دبائے رکھ کر) حرکت پذیری کو تیز کرسکتے ہیں۔ کیا آپ جاری رکھنا چاہتے ہیں؟</t>
  </si>
  <si>
    <t>ورک شیٹ 5. حل ورک شیٹ بنانے کے لیے ویزولائزیشن کا ہونا ضروری ہے۔</t>
  </si>
  <si>
    <t>Penyiapan lembar kerja visualisasi selesai.</t>
  </si>
  <si>
    <t>, melangkah</t>
  </si>
  <si>
    <t>, kendaraan</t>
  </si>
  <si>
    <t>, jenis kendaraan</t>
  </si>
  <si>
    <t>Ini akan memakan waktu hingga</t>
  </si>
  <si>
    <t xml:space="preserve">  detik. Anda dapat mempercepat animasi dengan menekan (atau menahan) tombol &lt;Esc&gt;. Apakah Anda ingin melanjutkan?</t>
  </si>
  <si>
    <t>Lembar Kerja 5.Visualisasi harus ada untuk lembar kerja solusi yang akan dibuat.</t>
  </si>
  <si>
    <t>اكتمل إعداد ورقة عمل التصور.</t>
  </si>
  <si>
    <t>اكتملت الرسوم المتحركة.</t>
  </si>
  <si>
    <t>، خطوة</t>
  </si>
  <si>
    <t>، مركبة</t>
  </si>
  <si>
    <t>، نوع السيارة</t>
  </si>
  <si>
    <t>هذا سوف يستغرق ما يصل إلى</t>
  </si>
  <si>
    <t xml:space="preserve">  ثواني. يمكنك تسريع الرسم المتحرك بالضغط (أو الضغط باستمرار) على مفتاح &lt;Esc&gt;. هل تريد الاستمرار؟</t>
  </si>
  <si>
    <t>ورقة العمل 5.يجب أن يكون التصور موجودًا حتى يتم إنشاء ورقة عمل الحل.</t>
  </si>
  <si>
    <t>Configuração da planilha de visualização concluída.</t>
  </si>
  <si>
    <t>Animação concluída.</t>
  </si>
  <si>
    <t>, Passo</t>
  </si>
  <si>
    <t>, veículo</t>
  </si>
  <si>
    <t>, Tipo de Veículo</t>
  </si>
  <si>
    <t>Isso vai demorar até</t>
  </si>
  <si>
    <t xml:space="preserve">  segundos. Você pode acelerar a animação pressionando (ou mantendo pressionada) a tecla &lt;Esc&gt;. Você quer continuar?</t>
  </si>
  <si>
    <t>Planilha 5. A visualização deve existir para que a planilha de solução seja criada.</t>
  </si>
  <si>
    <t>Configurazione del foglio di lavoro di visualizzazione completata.</t>
  </si>
  <si>
    <t>Animazione completata.</t>
  </si>
  <si>
    <t>, fare un passo</t>
  </si>
  <si>
    <t>, veicolo</t>
  </si>
  <si>
    <t>, tipo di veicolo</t>
  </si>
  <si>
    <t>Questo richiederà fino a</t>
  </si>
  <si>
    <t xml:space="preserve">  secondi. È possibile velocizzare l'animazione premendo (o tenendo premuto) il tasto &lt;Esc&gt;. Vuoi continuare?</t>
  </si>
  <si>
    <t>Foglio di lavoro 5.La visualizzazione deve esistere per creare il foglio di lavoro della soluzione.</t>
  </si>
  <si>
    <t>Configuration de la feuille de calcul de visualisation terminée.</t>
  </si>
  <si>
    <t>Animation terminée.</t>
  </si>
  <si>
    <t>, étape</t>
  </si>
  <si>
    <t>, véhicule</t>
  </si>
  <si>
    <t>, Type de véhicule</t>
  </si>
  <si>
    <t>Cela prendra jusqu'à</t>
  </si>
  <si>
    <t xml:space="preserve">  secondes. Vous pouvez accélérer l'animation en appuyant (ou en maintenant enfoncée) la touche &lt;Esc&gt;. Voulez-vous continuer?</t>
  </si>
  <si>
    <t>Feuille de calcul 5.La visualisation doit exister pour que la feuille de calcul de la solution soit créée.</t>
  </si>
  <si>
    <t>Se completó la configuración de la hoja de trabajo de visualización.</t>
  </si>
  <si>
    <t>Animación completa.</t>
  </si>
  <si>
    <t>, paso</t>
  </si>
  <si>
    <t>, vehículo</t>
  </si>
  <si>
    <t>, tipo de vehiculo</t>
  </si>
  <si>
    <t>Esto tomará hasta</t>
  </si>
  <si>
    <t xml:space="preserve">  segundos. Puede acelerar la animación presionando (o manteniendo presionada) la tecla &lt;Esc&gt;. ¿Quieres continuar?</t>
  </si>
  <si>
    <t>Hoja de trabajo 5. Debe existir visualización para que se cree la hoja de trabajo de la solución.</t>
  </si>
  <si>
    <t>Einrichtung des Visualisierungsarbeitsblatts abgeschlossen.</t>
  </si>
  <si>
    <t>Animation abgeschlossen.</t>
  </si>
  <si>
    <t>, Schritt</t>
  </si>
  <si>
    <t>, Fahrzeug</t>
  </si>
  <si>
    <t>, Fahrzeugtyp</t>
  </si>
  <si>
    <t>Dies dauert bis zu</t>
  </si>
  <si>
    <t xml:space="preserve">  Sekunden. Sie können die Animation beschleunigen, indem Sie die &lt;Esc&gt;-Taste drücken (oder gedrückt halten). Wollen Sie fortfahren?</t>
  </si>
  <si>
    <t>Arbeitsblatt 5. Die Visualisierung muss vorhanden sein, damit das Lösungsarbeitsblatt erstellt werden kann.</t>
  </si>
  <si>
    <t>Görselleştirme çalışma sayfası kurulumu tamamlandı.</t>
  </si>
  <si>
    <t>Animasyon tamamlandı.</t>
  </si>
  <si>
    <t>, adım</t>
  </si>
  <si>
    <t>, araç</t>
  </si>
  <si>
    <t>, araç tipi</t>
  </si>
  <si>
    <t>Bu kadar sürecek</t>
  </si>
  <si>
    <t xml:space="preserve">  saniye. &lt;Esc&gt; tuşuna basarak (veya basılı tutarak) animasyonu hızlandırabilirsiniz. Devam etmek istiyor musun?</t>
  </si>
  <si>
    <t>Çalışma Sayfası 5. Oluşturulacak çözüm çalışma sayfası için görselleştirme bulunmalıdır.</t>
  </si>
  <si>
    <t>Driving</t>
  </si>
  <si>
    <t>Truck</t>
  </si>
  <si>
    <t>Walking</t>
  </si>
  <si>
    <t>Bing Maps travel mode</t>
  </si>
  <si>
    <t>Yürüme</t>
  </si>
  <si>
    <t>Bing Haritalar seyahat modu</t>
  </si>
  <si>
    <t>Binek araç</t>
  </si>
  <si>
    <t>Kamyon</t>
  </si>
  <si>
    <t>Fahren</t>
  </si>
  <si>
    <t>Lastwagen</t>
  </si>
  <si>
    <t>Gehen</t>
  </si>
  <si>
    <t>Bing Maps-Reisemodus</t>
  </si>
  <si>
    <t>Conduciendo</t>
  </si>
  <si>
    <t>Camión</t>
  </si>
  <si>
    <t>Caminando</t>
  </si>
  <si>
    <t>Modo de viaje de Bing Maps</t>
  </si>
  <si>
    <t>Conduite</t>
  </si>
  <si>
    <t>Camion</t>
  </si>
  <si>
    <t>Marche à pied</t>
  </si>
  <si>
    <t>Mode de voyage Bing Maps</t>
  </si>
  <si>
    <t>Guida</t>
  </si>
  <si>
    <t>A piedi</t>
  </si>
  <si>
    <t>Modalità viaggio Bing Maps</t>
  </si>
  <si>
    <t>Dirigindo</t>
  </si>
  <si>
    <t>Caminhão</t>
  </si>
  <si>
    <t>Andando</t>
  </si>
  <si>
    <t>Modo de viagem Bing Maps</t>
  </si>
  <si>
    <t>القيادة</t>
  </si>
  <si>
    <t>شاحنة</t>
  </si>
  <si>
    <t>المشي</t>
  </si>
  <si>
    <t>وضع السفر في خرائط Bing</t>
  </si>
  <si>
    <t>Menyetir</t>
  </si>
  <si>
    <t>Truk</t>
  </si>
  <si>
    <t>Sedang berjalan</t>
  </si>
  <si>
    <t>Mode perjalanan Bing Maps</t>
  </si>
  <si>
    <t>ڈرائیونگ</t>
  </si>
  <si>
    <t>ٹرک</t>
  </si>
  <si>
    <t>چلنا</t>
  </si>
  <si>
    <t>بنگ میپس ٹریول موڈ</t>
  </si>
  <si>
    <t>পরিচালনা</t>
  </si>
  <si>
    <t>ট্রাক</t>
  </si>
  <si>
    <t>হাঁটা</t>
  </si>
  <si>
    <t>Bing মানচিত্র ভ্রমণ মোড</t>
  </si>
  <si>
    <t>Kuendesha gari</t>
  </si>
  <si>
    <t>Lori</t>
  </si>
  <si>
    <t>Kutembea</t>
  </si>
  <si>
    <t>Hali ya usafiri ya Ramani za Bing</t>
  </si>
  <si>
    <t>رانندگی</t>
  </si>
  <si>
    <t>کامیون</t>
  </si>
  <si>
    <t>پیاده روی</t>
  </si>
  <si>
    <t>حالت سفر نقشه های بینگ</t>
  </si>
  <si>
    <t>Memandu</t>
  </si>
  <si>
    <t>berjalan</t>
  </si>
  <si>
    <t>Mod perjalanan Peta Bing</t>
  </si>
  <si>
    <t>초당(강문)</t>
  </si>
  <si>
    <t>허균∙허난설헌기념공원</t>
  </si>
  <si>
    <t>올림픽뮤지엄</t>
  </si>
  <si>
    <t>경포호수광장</t>
  </si>
  <si>
    <t>홍장암</t>
  </si>
  <si>
    <t>경포대</t>
  </si>
  <si>
    <t>경포가시연습지</t>
  </si>
  <si>
    <t>선교장</t>
  </si>
  <si>
    <t>오죽헌</t>
  </si>
  <si>
    <t>안목해변</t>
  </si>
  <si>
    <t>송정해변</t>
  </si>
  <si>
    <t>세인트존스호텔</t>
  </si>
  <si>
    <t>녹색도시체험센터</t>
  </si>
  <si>
    <t>스카이베이</t>
  </si>
  <si>
    <r>
      <t>강릉시</t>
    </r>
    <r>
      <rPr>
        <sz val="10"/>
        <color rgb="FF000000"/>
        <rFont val="Helvetica Neue"/>
        <family val="2"/>
      </rPr>
      <t xml:space="preserve"> </t>
    </r>
    <r>
      <rPr>
        <sz val="10"/>
        <color rgb="FF000000"/>
        <rFont val="Apple SD Gothic Neo"/>
        <family val="2"/>
        <charset val="129"/>
      </rPr>
      <t>강문동</t>
    </r>
    <r>
      <rPr>
        <sz val="10"/>
        <color rgb="FF000000"/>
        <rFont val="Helvetica Neue"/>
        <family val="2"/>
      </rPr>
      <t xml:space="preserve"> 11-11</t>
    </r>
  </si>
  <si>
    <r>
      <t>강릉시</t>
    </r>
    <r>
      <rPr>
        <sz val="10"/>
        <color rgb="FF000000"/>
        <rFont val="Helvetica Neue"/>
        <family val="2"/>
      </rPr>
      <t xml:space="preserve"> </t>
    </r>
    <r>
      <rPr>
        <sz val="10"/>
        <color rgb="FF000000"/>
        <rFont val="Apple SD Gothic Neo"/>
        <family val="2"/>
        <charset val="129"/>
      </rPr>
      <t>초당동</t>
    </r>
    <r>
      <rPr>
        <sz val="10"/>
        <color rgb="FF000000"/>
        <rFont val="Helvetica Neue"/>
        <family val="2"/>
      </rPr>
      <t xml:space="preserve"> 529</t>
    </r>
  </si>
  <si>
    <r>
      <t>강릉시</t>
    </r>
    <r>
      <rPr>
        <sz val="10"/>
        <color rgb="FF000000"/>
        <rFont val="Helvetica Neue"/>
        <family val="2"/>
      </rPr>
      <t xml:space="preserve"> </t>
    </r>
    <r>
      <rPr>
        <sz val="10"/>
        <color rgb="FF000000"/>
        <rFont val="Apple SD Gothic Neo"/>
        <family val="2"/>
        <charset val="129"/>
      </rPr>
      <t>교동</t>
    </r>
    <r>
      <rPr>
        <sz val="10"/>
        <color rgb="FF000000"/>
        <rFont val="Helvetica Neue"/>
        <family val="2"/>
      </rPr>
      <t xml:space="preserve"> 465</t>
    </r>
  </si>
  <si>
    <r>
      <t>강릉시</t>
    </r>
    <r>
      <rPr>
        <sz val="10"/>
        <color rgb="FF000000"/>
        <rFont val="Helvetica Neue"/>
        <family val="2"/>
      </rPr>
      <t xml:space="preserve"> </t>
    </r>
    <r>
      <rPr>
        <sz val="10"/>
        <color rgb="FF000000"/>
        <rFont val="Apple SD Gothic Neo"/>
        <family val="2"/>
        <charset val="129"/>
      </rPr>
      <t>강문동</t>
    </r>
    <r>
      <rPr>
        <sz val="10"/>
        <color rgb="FF000000"/>
        <rFont val="Helvetica Neue"/>
        <family val="2"/>
      </rPr>
      <t xml:space="preserve"> 265-1</t>
    </r>
  </si>
  <si>
    <r>
      <t>강릉시</t>
    </r>
    <r>
      <rPr>
        <sz val="10"/>
        <color rgb="FF000000"/>
        <rFont val="Helvetica Neue"/>
        <family val="2"/>
      </rPr>
      <t xml:space="preserve"> </t>
    </r>
    <r>
      <rPr>
        <sz val="10"/>
        <color rgb="FF000000"/>
        <rFont val="Apple SD Gothic Neo"/>
        <family val="2"/>
        <charset val="129"/>
      </rPr>
      <t>저동</t>
    </r>
    <r>
      <rPr>
        <sz val="10"/>
        <color rgb="FF000000"/>
        <rFont val="Helvetica Neue"/>
        <family val="2"/>
      </rPr>
      <t xml:space="preserve"> 2-4</t>
    </r>
  </si>
  <si>
    <r>
      <t>강릉시</t>
    </r>
    <r>
      <rPr>
        <sz val="10"/>
        <color rgb="FF000000"/>
        <rFont val="Helvetica Neue"/>
        <family val="2"/>
      </rPr>
      <t xml:space="preserve"> </t>
    </r>
    <r>
      <rPr>
        <sz val="10"/>
        <color rgb="FF000000"/>
        <rFont val="Apple SD Gothic Neo"/>
        <family val="2"/>
        <charset val="129"/>
      </rPr>
      <t>저동</t>
    </r>
    <r>
      <rPr>
        <sz val="10"/>
        <color rgb="FF000000"/>
        <rFont val="Helvetica Neue"/>
        <family val="2"/>
      </rPr>
      <t xml:space="preserve"> 656-10</t>
    </r>
  </si>
  <si>
    <r>
      <t>강릉시</t>
    </r>
    <r>
      <rPr>
        <sz val="10"/>
        <color rgb="FF000000"/>
        <rFont val="Helvetica Neue"/>
        <family val="2"/>
      </rPr>
      <t xml:space="preserve"> </t>
    </r>
    <r>
      <rPr>
        <sz val="10"/>
        <color rgb="FF000000"/>
        <rFont val="Apple SD Gothic Neo"/>
        <family val="2"/>
        <charset val="129"/>
      </rPr>
      <t>저동</t>
    </r>
    <r>
      <rPr>
        <sz val="10"/>
        <color rgb="FF000000"/>
        <rFont val="Helvetica Neue"/>
        <family val="2"/>
      </rPr>
      <t xml:space="preserve"> 645</t>
    </r>
  </si>
  <si>
    <r>
      <t>강릉시</t>
    </r>
    <r>
      <rPr>
        <sz val="10"/>
        <color rgb="FF000000"/>
        <rFont val="Helvetica Neue"/>
        <family val="2"/>
      </rPr>
      <t xml:space="preserve"> </t>
    </r>
    <r>
      <rPr>
        <sz val="10"/>
        <color rgb="FF000000"/>
        <rFont val="Apple SD Gothic Neo"/>
        <family val="2"/>
        <charset val="129"/>
      </rPr>
      <t>운정동</t>
    </r>
    <r>
      <rPr>
        <sz val="10"/>
        <color rgb="FF000000"/>
        <rFont val="Helvetica Neue"/>
        <family val="2"/>
      </rPr>
      <t xml:space="preserve"> 472-19</t>
    </r>
  </si>
  <si>
    <r>
      <t>강릉시</t>
    </r>
    <r>
      <rPr>
        <sz val="10"/>
        <color rgb="FF000000"/>
        <rFont val="Helvetica Neue"/>
        <family val="2"/>
      </rPr>
      <t xml:space="preserve"> </t>
    </r>
    <r>
      <rPr>
        <sz val="10"/>
        <color rgb="FF000000"/>
        <rFont val="Apple SD Gothic Neo"/>
        <family val="2"/>
        <charset val="129"/>
      </rPr>
      <t>죽헌동</t>
    </r>
    <r>
      <rPr>
        <sz val="10"/>
        <color rgb="FF000000"/>
        <rFont val="Helvetica Neue"/>
        <family val="2"/>
      </rPr>
      <t xml:space="preserve"> 25-5</t>
    </r>
  </si>
  <si>
    <r>
      <t>강릉시</t>
    </r>
    <r>
      <rPr>
        <sz val="10"/>
        <color rgb="FF000000"/>
        <rFont val="Helvetica Neue"/>
        <family val="2"/>
      </rPr>
      <t xml:space="preserve"> </t>
    </r>
    <r>
      <rPr>
        <sz val="10"/>
        <color rgb="FF000000"/>
        <rFont val="Apple SD Gothic Neo"/>
        <family val="2"/>
        <charset val="129"/>
      </rPr>
      <t>견소동</t>
    </r>
    <r>
      <rPr>
        <sz val="10"/>
        <color rgb="FF000000"/>
        <rFont val="Helvetica Neue"/>
        <family val="2"/>
      </rPr>
      <t xml:space="preserve"> </t>
    </r>
    <r>
      <rPr>
        <sz val="10"/>
        <color rgb="FF000000"/>
        <rFont val="Apple SD Gothic Neo"/>
        <family val="2"/>
        <charset val="129"/>
      </rPr>
      <t>산</t>
    </r>
    <r>
      <rPr>
        <sz val="10"/>
        <color rgb="FF000000"/>
        <rFont val="Helvetica Neue"/>
        <family val="2"/>
      </rPr>
      <t xml:space="preserve"> 1-3</t>
    </r>
  </si>
  <si>
    <r>
      <t>강릉시</t>
    </r>
    <r>
      <rPr>
        <sz val="10"/>
        <color rgb="FF000000"/>
        <rFont val="Helvetica Neue"/>
        <family val="2"/>
      </rPr>
      <t xml:space="preserve"> </t>
    </r>
    <r>
      <rPr>
        <sz val="10"/>
        <color rgb="FF000000"/>
        <rFont val="Apple SD Gothic Neo"/>
        <family val="2"/>
        <charset val="129"/>
      </rPr>
      <t>송정동</t>
    </r>
    <r>
      <rPr>
        <sz val="10"/>
        <color rgb="FF000000"/>
        <rFont val="Helvetica Neue"/>
        <family val="2"/>
      </rPr>
      <t xml:space="preserve"> </t>
    </r>
    <r>
      <rPr>
        <sz val="10"/>
        <color rgb="FF000000"/>
        <rFont val="Apple SD Gothic Neo"/>
        <family val="2"/>
        <charset val="129"/>
      </rPr>
      <t>산</t>
    </r>
    <r>
      <rPr>
        <sz val="10"/>
        <color rgb="FF000000"/>
        <rFont val="Helvetica Neue"/>
        <family val="2"/>
      </rPr>
      <t xml:space="preserve"> 1-6</t>
    </r>
  </si>
  <si>
    <r>
      <t>강릉시</t>
    </r>
    <r>
      <rPr>
        <sz val="10"/>
        <color rgb="FF000000"/>
        <rFont val="Helvetica Neue"/>
        <family val="2"/>
      </rPr>
      <t xml:space="preserve"> </t>
    </r>
    <r>
      <rPr>
        <sz val="10"/>
        <color rgb="FF000000"/>
        <rFont val="Apple SD Gothic Neo"/>
        <family val="2"/>
        <charset val="129"/>
      </rPr>
      <t>강문동</t>
    </r>
    <r>
      <rPr>
        <sz val="10"/>
        <color rgb="FF000000"/>
        <rFont val="Helvetica Neue"/>
        <family val="2"/>
      </rPr>
      <t xml:space="preserve"> </t>
    </r>
    <r>
      <rPr>
        <sz val="10"/>
        <color rgb="FF000000"/>
        <rFont val="Apple SD Gothic Neo"/>
        <family val="2"/>
        <charset val="129"/>
      </rPr>
      <t>산</t>
    </r>
    <r>
      <rPr>
        <sz val="10"/>
        <color rgb="FF000000"/>
        <rFont val="Helvetica Neue"/>
        <family val="2"/>
      </rPr>
      <t xml:space="preserve"> 31-3</t>
    </r>
  </si>
  <si>
    <r>
      <t>강릉시</t>
    </r>
    <r>
      <rPr>
        <sz val="10"/>
        <color rgb="FF000000"/>
        <rFont val="Helvetica Neue"/>
        <family val="2"/>
      </rPr>
      <t xml:space="preserve"> </t>
    </r>
    <r>
      <rPr>
        <sz val="10"/>
        <color rgb="FF000000"/>
        <rFont val="Apple SD Gothic Neo"/>
        <family val="2"/>
        <charset val="129"/>
      </rPr>
      <t>초당동</t>
    </r>
    <r>
      <rPr>
        <sz val="10"/>
        <color rgb="FF000000"/>
        <rFont val="Helvetica Neue"/>
        <family val="2"/>
      </rPr>
      <t xml:space="preserve"> 505</t>
    </r>
  </si>
  <si>
    <r>
      <t>강릉시</t>
    </r>
    <r>
      <rPr>
        <sz val="10"/>
        <color rgb="FF000000"/>
        <rFont val="Helvetica Neue"/>
        <family val="2"/>
      </rPr>
      <t xml:space="preserve"> </t>
    </r>
    <r>
      <rPr>
        <sz val="10"/>
        <color rgb="FF000000"/>
        <rFont val="Apple SD Gothic Neo"/>
        <family val="2"/>
        <charset val="129"/>
      </rPr>
      <t>강문동</t>
    </r>
    <r>
      <rPr>
        <sz val="10"/>
        <color rgb="FF000000"/>
        <rFont val="Helvetica Neue"/>
        <family val="2"/>
      </rPr>
      <t xml:space="preserve"> 294</t>
    </r>
  </si>
  <si>
    <t>AsBzi_yoLDE_o8vKUBf5jzr5FdK6USe6-v3MwhwHJjc3J-UTqHuXUX7j1nU7u61Z</t>
  </si>
  <si>
    <t>Polyline break 1 Latitude (y)</t>
  </si>
  <si>
    <t>Polyline break 1 Longitude (x)</t>
  </si>
  <si>
    <t>Polyline break 2 Latitude (y)</t>
  </si>
  <si>
    <t>Polyline break 2 Longitude (x)</t>
  </si>
  <si>
    <t>Polyline break 3 Latitude (y)</t>
  </si>
  <si>
    <t>Polyline break 3 Longitude (x)</t>
  </si>
  <si>
    <t>176 Yongji-roGangneung, Gangwon-do</t>
  </si>
  <si>
    <t>Bing Maps driving distances (km) / Bing Maps driving durations / Driving</t>
  </si>
  <si>
    <t>T1</t>
  </si>
  <si>
    <t>V1</t>
  </si>
  <si>
    <t>V2</t>
  </si>
  <si>
    <t>V3</t>
  </si>
  <si>
    <t>Polyline break 4 Latitude (y)</t>
  </si>
  <si>
    <t>Polyline break 4 Longitude (x)</t>
  </si>
  <si>
    <t>Polyline break 5 Latitude (y)</t>
  </si>
  <si>
    <t>Polyline break 5 Longitude (x)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</si>
</sst>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h:mm"/>
    <numFmt numFmtId="165" formatCode="[h]:mm"/>
    <numFmt numFmtId="166" formatCode="0.000000"/>
  </numFmts>
  <fonts count="33"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16"/>
      <color indexed="9"/>
      <name val="Calibri"/>
      <family val="2"/>
      <scheme val="minor"/>
    </font>
    <font>
      <sz val="10"/>
      <color rgb="FF000000"/>
      <name val="Apple SD Gothic Neo"/>
      <family val="2"/>
      <charset val="129"/>
    </font>
    <font>
      <sz val="10"/>
      <color rgb="FF000000"/>
      <name val="Helvetica Neue"/>
      <family val="2"/>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4">
    <xf numFmtId="0" fontId="0" fillId="0" borderId="0" xfId="0"/>
    <xf numFmtId="0" fontId="2" fillId="2" borderId="0" xfId="0" applyFont="1" applyFill="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2" fillId="34" borderId="0" xfId="0" applyFont="1" applyFill="1"/>
    <xf numFmtId="0" fontId="0" fillId="0" borderId="0" xfId="0" applyAlignment="1">
      <alignment vertical="top" wrapText="1"/>
    </xf>
    <xf numFmtId="0" fontId="21" fillId="0" borderId="0" xfId="0" applyFont="1"/>
    <xf numFmtId="0" fontId="22" fillId="2" borderId="16" xfId="0" applyFont="1" applyFill="1" applyBorder="1"/>
    <xf numFmtId="164" fontId="21" fillId="0" borderId="0" xfId="0" applyNumberFormat="1" applyFont="1"/>
    <xf numFmtId="0" fontId="22" fillId="2" borderId="0" xfId="0" applyFont="1" applyFill="1"/>
    <xf numFmtId="165" fontId="22" fillId="36" borderId="0" xfId="0" applyNumberFormat="1" applyFont="1" applyFill="1"/>
    <xf numFmtId="0" fontId="22" fillId="2" borderId="17" xfId="0" applyFont="1" applyFill="1" applyBorder="1"/>
    <xf numFmtId="0" fontId="22" fillId="2" borderId="1" xfId="0" applyFont="1" applyFill="1" applyBorder="1"/>
    <xf numFmtId="165" fontId="22" fillId="36" borderId="1" xfId="0" applyNumberFormat="1" applyFont="1" applyFill="1" applyBorder="1"/>
    <xf numFmtId="0" fontId="22" fillId="2" borderId="15" xfId="0" applyFont="1" applyFill="1" applyBorder="1"/>
    <xf numFmtId="165" fontId="22" fillId="36" borderId="15" xfId="0" applyNumberFormat="1" applyFont="1" applyFill="1" applyBorder="1"/>
    <xf numFmtId="165"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0" fontId="22" fillId="36" borderId="21"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164" fontId="22" fillId="36" borderId="21"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5" fontId="22" fillId="36" borderId="21" xfId="0" applyNumberFormat="1" applyFont="1" applyFill="1" applyBorder="1"/>
    <xf numFmtId="0" fontId="22" fillId="2" borderId="18" xfId="0" applyFont="1" applyFill="1" applyBorder="1"/>
    <xf numFmtId="165" fontId="22" fillId="2" borderId="18" xfId="0" applyNumberFormat="1" applyFont="1" applyFill="1" applyBorder="1"/>
    <xf numFmtId="0" fontId="28" fillId="36" borderId="18" xfId="0" applyFont="1" applyFill="1" applyBorder="1"/>
    <xf numFmtId="0" fontId="28" fillId="37" borderId="19" xfId="0" applyFont="1" applyFill="1" applyBorder="1"/>
    <xf numFmtId="0" fontId="28" fillId="36" borderId="20" xfId="0" applyFont="1" applyFill="1" applyBorder="1"/>
    <xf numFmtId="0" fontId="28" fillId="37" borderId="20" xfId="0" applyFont="1" applyFill="1" applyBorder="1"/>
    <xf numFmtId="0" fontId="29" fillId="0" borderId="0" xfId="0" applyFont="1"/>
    <xf numFmtId="0" fontId="30" fillId="0" borderId="0" xfId="0" applyFont="1"/>
    <xf numFmtId="2" fontId="22" fillId="36" borderId="0" xfId="0" applyNumberFormat="1" applyFont="1" applyFill="1"/>
    <xf numFmtId="166" fontId="22" fillId="36" borderId="0" xfId="0" applyNumberFormat="1" applyFont="1" applyFill="1"/>
    <xf numFmtId="2" fontId="22" fillId="37" borderId="15" xfId="0" applyNumberFormat="1" applyFont="1" applyFill="1" applyBorder="1"/>
    <xf numFmtId="166" fontId="22" fillId="37" borderId="15" xfId="0" applyNumberFormat="1" applyFont="1" applyFill="1" applyBorder="1"/>
    <xf numFmtId="2" fontId="22" fillId="36" borderId="1" xfId="0" applyNumberFormat="1" applyFont="1" applyFill="1" applyBorder="1"/>
    <xf numFmtId="166" fontId="22" fillId="36" borderId="1" xfId="0" applyNumberFormat="1" applyFont="1" applyFill="1" applyBorder="1"/>
    <xf numFmtId="2" fontId="22" fillId="36" borderId="15" xfId="0" applyNumberFormat="1" applyFont="1" applyFill="1" applyBorder="1"/>
    <xf numFmtId="166" fontId="22" fillId="36" borderId="15" xfId="0" applyNumberFormat="1" applyFont="1" applyFill="1" applyBorder="1"/>
    <xf numFmtId="0" fontId="22" fillId="34" borderId="16" xfId="0" applyFont="1" applyFill="1" applyBorder="1"/>
    <xf numFmtId="2" fontId="22" fillId="34" borderId="16" xfId="0" applyNumberFormat="1" applyFont="1" applyFill="1" applyBorder="1"/>
    <xf numFmtId="164" fontId="22" fillId="34" borderId="16" xfId="0" applyNumberFormat="1" applyFont="1" applyFill="1" applyBorder="1"/>
    <xf numFmtId="165" fontId="22" fillId="34" borderId="16" xfId="0" applyNumberFormat="1" applyFont="1" applyFill="1" applyBorder="1"/>
    <xf numFmtId="0" fontId="31" fillId="38" borderId="16" xfId="0" applyFont="1" applyFill="1" applyBorder="1"/>
    <xf numFmtId="0" fontId="31" fillId="38" borderId="0" xfId="0" applyFont="1" applyFill="1"/>
    <xf numFmtId="2" fontId="31" fillId="38" borderId="0" xfId="0" applyNumberFormat="1" applyFont="1" applyFill="1"/>
    <xf numFmtId="165" fontId="31" fillId="38" borderId="0" xfId="0" applyNumberFormat="1" applyFont="1" applyFill="1"/>
    <xf numFmtId="164" fontId="31" fillId="38" borderId="0" xfId="0" applyNumberFormat="1" applyFont="1" applyFill="1"/>
    <xf numFmtId="0" fontId="31" fillId="38" borderId="1" xfId="0" applyFont="1" applyFill="1" applyBorder="1"/>
    <xf numFmtId="2" fontId="31" fillId="38" borderId="1" xfId="0" applyNumberFormat="1" applyFont="1" applyFill="1" applyBorder="1"/>
    <xf numFmtId="165" fontId="31" fillId="38" borderId="1" xfId="0" applyNumberFormat="1" applyFont="1" applyFill="1" applyBorder="1"/>
    <xf numFmtId="164" fontId="31" fillId="38" borderId="1" xfId="0" applyNumberFormat="1" applyFont="1" applyFill="1" applyBorder="1"/>
    <xf numFmtId="0" fontId="31" fillId="39" borderId="1" xfId="0" applyFont="1" applyFill="1" applyBorder="1"/>
    <xf numFmtId="0" fontId="31" fillId="39" borderId="15" xfId="0" applyFont="1" applyFill="1" applyBorder="1"/>
    <xf numFmtId="0" fontId="31" fillId="38" borderId="15" xfId="0" applyFont="1" applyFill="1" applyBorder="1"/>
    <xf numFmtId="2" fontId="31" fillId="38" borderId="15" xfId="0" applyNumberFormat="1" applyFont="1" applyFill="1" applyBorder="1"/>
    <xf numFmtId="165" fontId="31" fillId="38" borderId="15" xfId="0" applyNumberFormat="1" applyFont="1" applyFill="1" applyBorder="1"/>
    <xf numFmtId="164" fontId="31" fillId="38" borderId="15" xfId="0" applyNumberFormat="1" applyFont="1" applyFill="1" applyBorder="1"/>
    <xf numFmtId="0" fontId="31" fillId="40" borderId="15" xfId="0" applyFont="1" applyFill="1" applyBorder="1"/>
    <xf numFmtId="2" fontId="32" fillId="38" borderId="0" xfId="0" applyNumberFormat="1" applyFont="1" applyFill="1"/>
    <xf numFmtId="0" fontId="21" fillId="38" borderId="0" xfId="0" applyFont="1" applyFill="1"/>
    <xf numFmtId="2" fontId="21" fillId="38" borderId="0" xfId="0" applyNumberFormat="1"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itle" xfId="40" builtinId="15" customBuiltin="1"/>
    <cellStyle name="Total 2" xfId="41" xr:uid="{00000000-0005-0000-0000-000029000000}"/>
    <cellStyle name="Warning Text 2" xfId="42" xr:uid="{00000000-0005-0000-0000-00002A000000}"/>
  </cellStyles>
  <dxfs count="272">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2-433B-DE4B-9F34-9844F8ACD14C}"/>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3-433B-DE4B-9F34-9844F8ACD14C}"/>
              </c:ext>
            </c:extLst>
          </c:dPt>
          <c:dPt>
            <c:idx val="2"/>
            <c:marker>
              <c:spPr>
                <a:solidFill>
                  <a:srgbClr val="339966"/>
                </a:solidFill>
                <a:ln>
                  <a:solidFill>
                    <a:srgbClr val="339966"/>
                  </a:solidFill>
                  <a:prstDash val="solid"/>
                </a:ln>
              </c:spPr>
            </c:marker>
            <c:bubble3D val="0"/>
            <c:extLst>
              <c:ext xmlns:c16="http://schemas.microsoft.com/office/drawing/2014/chart" uri="{C3380CC4-5D6E-409C-BE32-E72D297353CC}">
                <c16:uniqueId val="{00000004-433B-DE4B-9F34-9844F8ACD14C}"/>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5-433B-DE4B-9F34-9844F8ACD14C}"/>
              </c:ext>
            </c:extLst>
          </c:dPt>
          <c:dPt>
            <c:idx val="4"/>
            <c:marker>
              <c:spPr>
                <a:solidFill>
                  <a:srgbClr val="339966"/>
                </a:solidFill>
                <a:ln>
                  <a:solidFill>
                    <a:srgbClr val="339966"/>
                  </a:solidFill>
                  <a:prstDash val="solid"/>
                </a:ln>
              </c:spPr>
            </c:marker>
            <c:bubble3D val="0"/>
            <c:extLst>
              <c:ext xmlns:c16="http://schemas.microsoft.com/office/drawing/2014/chart" uri="{C3380CC4-5D6E-409C-BE32-E72D297353CC}">
                <c16:uniqueId val="{00000006-433B-DE4B-9F34-9844F8ACD14C}"/>
              </c:ext>
            </c:extLst>
          </c:dPt>
          <c:dPt>
            <c:idx val="5"/>
            <c:marker>
              <c:spPr>
                <a:solidFill>
                  <a:srgbClr val="339966"/>
                </a:solidFill>
                <a:ln>
                  <a:solidFill>
                    <a:srgbClr val="339966"/>
                  </a:solidFill>
                  <a:prstDash val="solid"/>
                </a:ln>
              </c:spPr>
            </c:marker>
            <c:bubble3D val="0"/>
            <c:extLst>
              <c:ext xmlns:c16="http://schemas.microsoft.com/office/drawing/2014/chart" uri="{C3380CC4-5D6E-409C-BE32-E72D297353CC}">
                <c16:uniqueId val="{00000007-433B-DE4B-9F34-9844F8ACD14C}"/>
              </c:ext>
            </c:extLst>
          </c:dPt>
          <c:dPt>
            <c:idx val="6"/>
            <c:marker>
              <c:spPr>
                <a:solidFill>
                  <a:srgbClr val="339966"/>
                </a:solidFill>
                <a:ln>
                  <a:solidFill>
                    <a:srgbClr val="339966"/>
                  </a:solidFill>
                  <a:prstDash val="solid"/>
                </a:ln>
              </c:spPr>
            </c:marker>
            <c:bubble3D val="0"/>
            <c:extLst>
              <c:ext xmlns:c16="http://schemas.microsoft.com/office/drawing/2014/chart" uri="{C3380CC4-5D6E-409C-BE32-E72D297353CC}">
                <c16:uniqueId val="{00000008-433B-DE4B-9F34-9844F8ACD14C}"/>
              </c:ext>
            </c:extLst>
          </c:dPt>
          <c:dPt>
            <c:idx val="7"/>
            <c:marker>
              <c:spPr>
                <a:solidFill>
                  <a:srgbClr val="339966"/>
                </a:solidFill>
                <a:ln>
                  <a:solidFill>
                    <a:srgbClr val="339966"/>
                  </a:solidFill>
                  <a:prstDash val="solid"/>
                </a:ln>
              </c:spPr>
            </c:marker>
            <c:bubble3D val="0"/>
            <c:extLst>
              <c:ext xmlns:c16="http://schemas.microsoft.com/office/drawing/2014/chart" uri="{C3380CC4-5D6E-409C-BE32-E72D297353CC}">
                <c16:uniqueId val="{00000009-433B-DE4B-9F34-9844F8ACD14C}"/>
              </c:ext>
            </c:extLst>
          </c:dPt>
          <c:dPt>
            <c:idx val="8"/>
            <c:marker>
              <c:spPr>
                <a:solidFill>
                  <a:srgbClr val="339966"/>
                </a:solidFill>
                <a:ln>
                  <a:solidFill>
                    <a:srgbClr val="339966"/>
                  </a:solidFill>
                  <a:prstDash val="solid"/>
                </a:ln>
              </c:spPr>
            </c:marker>
            <c:bubble3D val="0"/>
            <c:extLst>
              <c:ext xmlns:c16="http://schemas.microsoft.com/office/drawing/2014/chart" uri="{C3380CC4-5D6E-409C-BE32-E72D297353CC}">
                <c16:uniqueId val="{0000000A-433B-DE4B-9F34-9844F8ACD14C}"/>
              </c:ext>
            </c:extLst>
          </c:dPt>
          <c:dPt>
            <c:idx val="9"/>
            <c:marker>
              <c:spPr>
                <a:solidFill>
                  <a:srgbClr val="339966"/>
                </a:solidFill>
                <a:ln>
                  <a:solidFill>
                    <a:srgbClr val="339966"/>
                  </a:solidFill>
                  <a:prstDash val="solid"/>
                </a:ln>
              </c:spPr>
            </c:marker>
            <c:bubble3D val="0"/>
            <c:extLst>
              <c:ext xmlns:c16="http://schemas.microsoft.com/office/drawing/2014/chart" uri="{C3380CC4-5D6E-409C-BE32-E72D297353CC}">
                <c16:uniqueId val="{0000000B-433B-DE4B-9F34-9844F8ACD14C}"/>
              </c:ext>
            </c:extLst>
          </c:dPt>
          <c:dPt>
            <c:idx val="10"/>
            <c:marker>
              <c:spPr>
                <a:solidFill>
                  <a:srgbClr val="339966"/>
                </a:solidFill>
                <a:ln>
                  <a:solidFill>
                    <a:srgbClr val="339966"/>
                  </a:solidFill>
                  <a:prstDash val="solid"/>
                </a:ln>
              </c:spPr>
            </c:marker>
            <c:bubble3D val="0"/>
            <c:extLst>
              <c:ext xmlns:c16="http://schemas.microsoft.com/office/drawing/2014/chart" uri="{C3380CC4-5D6E-409C-BE32-E72D297353CC}">
                <c16:uniqueId val="{0000000C-433B-DE4B-9F34-9844F8ACD14C}"/>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D-433B-DE4B-9F34-9844F8ACD14C}"/>
              </c:ext>
            </c:extLst>
          </c:dPt>
          <c:dPt>
            <c:idx val="12"/>
            <c:marker>
              <c:spPr>
                <a:solidFill>
                  <a:srgbClr val="339966"/>
                </a:solidFill>
                <a:ln>
                  <a:solidFill>
                    <a:srgbClr val="339966"/>
                  </a:solidFill>
                  <a:prstDash val="solid"/>
                </a:ln>
              </c:spPr>
            </c:marker>
            <c:bubble3D val="0"/>
            <c:extLst>
              <c:ext xmlns:c16="http://schemas.microsoft.com/office/drawing/2014/chart" uri="{C3380CC4-5D6E-409C-BE32-E72D297353CC}">
                <c16:uniqueId val="{0000000E-433B-DE4B-9F34-9844F8ACD14C}"/>
              </c:ext>
            </c:extLst>
          </c:dPt>
          <c:dPt>
            <c:idx val="13"/>
            <c:marker>
              <c:spPr>
                <a:solidFill>
                  <a:srgbClr val="339966"/>
                </a:solidFill>
                <a:ln>
                  <a:solidFill>
                    <a:srgbClr val="339966"/>
                  </a:solidFill>
                  <a:prstDash val="solid"/>
                </a:ln>
              </c:spPr>
            </c:marker>
            <c:bubble3D val="0"/>
            <c:extLst>
              <c:ext xmlns:c16="http://schemas.microsoft.com/office/drawing/2014/chart" uri="{C3380CC4-5D6E-409C-BE32-E72D297353CC}">
                <c16:uniqueId val="{0000000F-433B-DE4B-9F34-9844F8ACD14C}"/>
              </c:ext>
            </c:extLst>
          </c:dPt>
          <c:dPt>
            <c:idx val="14"/>
            <c:marker>
              <c:spPr>
                <a:solidFill>
                  <a:srgbClr val="339966"/>
                </a:solidFill>
                <a:ln>
                  <a:solidFill>
                    <a:srgbClr val="339966"/>
                  </a:solidFill>
                  <a:prstDash val="solid"/>
                </a:ln>
              </c:spPr>
            </c:marker>
            <c:bubble3D val="0"/>
            <c:extLst>
              <c:ext xmlns:c16="http://schemas.microsoft.com/office/drawing/2014/chart" uri="{C3380CC4-5D6E-409C-BE32-E72D297353CC}">
                <c16:uniqueId val="{00000010-433B-DE4B-9F34-9844F8ACD14C}"/>
              </c:ext>
            </c:extLst>
          </c:dPt>
          <c:dLbls>
            <c:dLbl>
              <c:idx val="0"/>
              <c:layout>
                <c:manualLayout>
                  <c:x val="-9.4039290109177692E-2"/>
                  <c:y val="-1.1337125051439681E-2"/>
                </c:manualLayout>
              </c:layout>
              <c:tx>
                <c:rich>
                  <a:bodyPr/>
                  <a:lstStyle/>
                  <a:p>
                    <a:r>
                      <a:rPr lang="en-US"/>
                      <a:t>Depot</a:t>
                    </a:r>
                    <a:br>
                      <a:rPr lang="en-US"/>
                    </a:br>
                    <a:r>
                      <a:rPr lang="en-US"/>
                      <a:t>(</a:t>
                    </a:r>
                    <a:r>
                      <a:rPr lang="ko-KR" altLang="en-US"/>
                      <a:t>강릉역</a:t>
                    </a:r>
                    <a:r>
                      <a:rPr lang="en-US" altLang="ko-KR"/>
                      <a:t>)</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33B-DE4B-9F34-9844F8ACD14C}"/>
                </c:ext>
              </c:extLst>
            </c:dLbl>
            <c:dLbl>
              <c:idx val="1"/>
              <c:tx>
                <c:rich>
                  <a:bodyPr/>
                  <a:lstStyle/>
                  <a:p>
                    <a:r>
                      <a:rPr lang="ko-KR" altLang="en-US"/>
                      <a:t>초당</a:t>
                    </a:r>
                    <a:r>
                      <a:rPr lang="en-US" altLang="ko-KR"/>
                      <a:t>(</a:t>
                    </a:r>
                    <a:r>
                      <a:rPr lang="ko-KR" altLang="en-US"/>
                      <a:t>강문</a:t>
                    </a:r>
                    <a:r>
                      <a:rPr lang="en-US" altLang="ko-KR"/>
                      <a:t>)</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33B-DE4B-9F34-9844F8ACD14C}"/>
                </c:ext>
              </c:extLst>
            </c:dLbl>
            <c:dLbl>
              <c:idx val="2"/>
              <c:layout>
                <c:manualLayout>
                  <c:x val="-3.5728223479019015E-2"/>
                  <c:y val="6.7120455902862849E-2"/>
                </c:manualLayout>
              </c:layout>
              <c:tx>
                <c:rich>
                  <a:bodyPr/>
                  <a:lstStyle/>
                  <a:p>
                    <a:r>
                      <a:rPr lang="ko-KR" altLang="en-US"/>
                      <a:t>허균∙허난설헌기념공원</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33B-DE4B-9F34-9844F8ACD14C}"/>
                </c:ext>
              </c:extLst>
            </c:dLbl>
            <c:dLbl>
              <c:idx val="3"/>
              <c:layout>
                <c:manualLayout>
                  <c:x val="2.065437355817196E-2"/>
                  <c:y val="-1.8962993920120925E-2"/>
                </c:manualLayout>
              </c:layout>
              <c:tx>
                <c:rich>
                  <a:bodyPr/>
                  <a:lstStyle/>
                  <a:p>
                    <a:r>
                      <a:rPr lang="ko-KR" altLang="en-US"/>
                      <a:t>올림픽뮤지엄</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33B-DE4B-9F34-9844F8ACD14C}"/>
                </c:ext>
              </c:extLst>
            </c:dLbl>
            <c:dLbl>
              <c:idx val="4"/>
              <c:layout>
                <c:manualLayout>
                  <c:x val="2.9977434309290856E-3"/>
                  <c:y val="-3.1653760734261085E-2"/>
                </c:manualLayout>
              </c:layout>
              <c:tx>
                <c:rich>
                  <a:bodyPr/>
                  <a:lstStyle/>
                  <a:p>
                    <a:r>
                      <a:rPr lang="ko-KR" altLang="en-US"/>
                      <a:t>경포호수광장</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33B-DE4B-9F34-9844F8ACD14C}"/>
                </c:ext>
              </c:extLst>
            </c:dLbl>
            <c:dLbl>
              <c:idx val="5"/>
              <c:layout>
                <c:manualLayout>
                  <c:x val="-8.5100979105492247E-2"/>
                  <c:y val="-4.438255681572538E-2"/>
                </c:manualLayout>
              </c:layout>
              <c:tx>
                <c:rich>
                  <a:bodyPr/>
                  <a:lstStyle/>
                  <a:p>
                    <a:r>
                      <a:rPr lang="ko-KR" altLang="en-US"/>
                      <a:t>홍장암</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33B-DE4B-9F34-9844F8ACD14C}"/>
                </c:ext>
              </c:extLst>
            </c:dLbl>
            <c:dLbl>
              <c:idx val="6"/>
              <c:layout>
                <c:manualLayout>
                  <c:x val="-7.910549224363396E-2"/>
                  <c:y val="-1.3879081341000033E-2"/>
                </c:manualLayout>
              </c:layout>
              <c:tx>
                <c:rich>
                  <a:bodyPr/>
                  <a:lstStyle/>
                  <a:p>
                    <a:r>
                      <a:rPr lang="ko-KR" altLang="en-US"/>
                      <a:t>경포대</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33B-DE4B-9F34-9844F8ACD14C}"/>
                </c:ext>
              </c:extLst>
            </c:dLbl>
            <c:dLbl>
              <c:idx val="7"/>
              <c:layout>
                <c:manualLayout>
                  <c:x val="-0.12928771727738805"/>
                  <c:y val="-3.9298644236604494E-2"/>
                </c:manualLayout>
              </c:layout>
              <c:tx>
                <c:rich>
                  <a:bodyPr/>
                  <a:lstStyle/>
                  <a:p>
                    <a:r>
                      <a:rPr lang="ko-KR" altLang="en-US"/>
                      <a:t>경포가시연습지</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33B-DE4B-9F34-9844F8ACD14C}"/>
                </c:ext>
              </c:extLst>
            </c:dLbl>
            <c:dLbl>
              <c:idx val="8"/>
              <c:layout>
                <c:manualLayout>
                  <c:x val="-6.1119031658059007E-2"/>
                  <c:y val="-2.1504950209681371E-2"/>
                </c:manualLayout>
              </c:layout>
              <c:tx>
                <c:rich>
                  <a:bodyPr/>
                  <a:lstStyle/>
                  <a:p>
                    <a:r>
                      <a:rPr lang="ko-KR" altLang="en-US"/>
                      <a:t>선교장</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33B-DE4B-9F34-9844F8ACD14C}"/>
                </c:ext>
              </c:extLst>
            </c:dLbl>
            <c:dLbl>
              <c:idx val="9"/>
              <c:layout>
                <c:manualLayout>
                  <c:x val="-6.9113014140536749E-2"/>
                  <c:y val="-6.2532124723186965E-3"/>
                </c:manualLayout>
              </c:layout>
              <c:tx>
                <c:rich>
                  <a:bodyPr/>
                  <a:lstStyle/>
                  <a:p>
                    <a:r>
                      <a:rPr lang="ko-KR" altLang="en-US"/>
                      <a:t>오죽헌</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33B-DE4B-9F34-9844F8ACD14C}"/>
                </c:ext>
              </c:extLst>
            </c:dLbl>
            <c:dLbl>
              <c:idx val="10"/>
              <c:layout>
                <c:manualLayout>
                  <c:x val="-3.217577949197224E-3"/>
                  <c:y val="-3.4214731657483601E-2"/>
                </c:manualLayout>
              </c:layout>
              <c:tx>
                <c:rich>
                  <a:bodyPr/>
                  <a:lstStyle/>
                  <a:p>
                    <a:r>
                      <a:rPr lang="ko-KR" altLang="en-US"/>
                      <a:t>안목해변</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33B-DE4B-9F34-9844F8ACD14C}"/>
                </c:ext>
              </c:extLst>
            </c:dLbl>
            <c:dLbl>
              <c:idx val="11"/>
              <c:layout>
                <c:manualLayout>
                  <c:x val="-9.2130648110556879E-3"/>
                  <c:y val="-4.1840600526164937E-2"/>
                </c:manualLayout>
              </c:layout>
              <c:tx>
                <c:rich>
                  <a:bodyPr/>
                  <a:lstStyle/>
                  <a:p>
                    <a:r>
                      <a:rPr lang="ko-KR" altLang="en-US"/>
                      <a:t>송정해변</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33B-DE4B-9F34-9844F8ACD14C}"/>
                </c:ext>
              </c:extLst>
            </c:dLbl>
            <c:dLbl>
              <c:idx val="12"/>
              <c:layout>
                <c:manualLayout>
                  <c:x val="1.6602463027831093E-2"/>
                  <c:y val="-6.2176250842648453E-2"/>
                </c:manualLayout>
              </c:layout>
              <c:tx>
                <c:rich>
                  <a:bodyPr/>
                  <a:lstStyle/>
                  <a:p>
                    <a:r>
                      <a:rPr lang="ko-KR" altLang="en-US"/>
                      <a:t>세인트존스호텔</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33B-DE4B-9F34-9844F8ACD14C}"/>
                </c:ext>
              </c:extLst>
            </c:dLbl>
            <c:dLbl>
              <c:idx val="13"/>
              <c:tx>
                <c:rich>
                  <a:bodyPr/>
                  <a:lstStyle/>
                  <a:p>
                    <a:r>
                      <a:rPr lang="ko-KR" altLang="en-US"/>
                      <a:t>녹색도시체험센터</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33B-DE4B-9F34-9844F8ACD14C}"/>
                </c:ext>
              </c:extLst>
            </c:dLbl>
            <c:dLbl>
              <c:idx val="14"/>
              <c:layout>
                <c:manualLayout>
                  <c:x val="-4.4966151463937384E-2"/>
                  <c:y val="-6.2157236208986437E-2"/>
                </c:manualLayout>
              </c:layout>
              <c:tx>
                <c:rich>
                  <a:bodyPr/>
                  <a:lstStyle/>
                  <a:p>
                    <a:r>
                      <a:rPr lang="ko-KR" altLang="en-US"/>
                      <a:t>스카이베이</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33B-DE4B-9F34-9844F8ACD14C}"/>
                </c:ext>
              </c:extLst>
            </c:dLbl>
            <c:spPr>
              <a:noFill/>
              <a:ln>
                <a:noFill/>
              </a:ln>
              <a:effectLst/>
            </c:spPr>
            <c:txPr>
              <a:bodyPr wrap="square" lIns="38100" tIns="19050" rIns="38100" bIns="19050" anchor="ctr">
                <a:spAutoFit/>
              </a:bodyPr>
              <a:lstStyle/>
              <a:p>
                <a:pPr>
                  <a:defRPr sz="700" b="1">
                    <a:latin typeface="Apple SD Gothic Neo" panose="02000300000000000000" pitchFamily="2" charset="-127"/>
                    <a:ea typeface="Apple SD Gothic Neo" panose="02000300000000000000" pitchFamily="2" charset="-127"/>
                  </a:defRPr>
                </a:pPr>
                <a:endParaRPr lang="en-KR"/>
              </a:p>
            </c:txPr>
            <c:showLegendKey val="0"/>
            <c:showVal val="0"/>
            <c:showCatName val="0"/>
            <c:showSerName val="0"/>
            <c:showPercent val="0"/>
            <c:showBubbleSize val="0"/>
            <c:extLst>
              <c:ext xmlns:c15="http://schemas.microsoft.com/office/drawing/2012/chart" uri="{CE6537A1-D6FC-4f65-9D91-7224C49458BB}">
                <c15:showLeaderLines val="1"/>
              </c:ext>
            </c:extLst>
          </c:dLbls>
          <c:xVal>
            <c:numRef>
              <c:f>'1.Locations'!$E$2:$E$16</c:f>
              <c:numCache>
                <c:formatCode>General</c:formatCode>
                <c:ptCount val="15"/>
                <c:pt idx="0">
                  <c:v>128.901215118675</c:v>
                </c:pt>
                <c:pt idx="1">
                  <c:v>128.916161884438</c:v>
                </c:pt>
                <c:pt idx="2">
                  <c:v>128.90960192524901</c:v>
                </c:pt>
                <c:pt idx="3">
                  <c:v>128.89830858447601</c:v>
                </c:pt>
                <c:pt idx="4">
                  <c:v>128.91126708569601</c:v>
                </c:pt>
                <c:pt idx="5">
                  <c:v>128.903057385952</c:v>
                </c:pt>
                <c:pt idx="6">
                  <c:v>128.89692747110601</c:v>
                </c:pt>
                <c:pt idx="7">
                  <c:v>128.90017885179</c:v>
                </c:pt>
                <c:pt idx="8">
                  <c:v>128.88414860348999</c:v>
                </c:pt>
                <c:pt idx="9">
                  <c:v>128.880935334897</c:v>
                </c:pt>
                <c:pt idx="10">
                  <c:v>128.94464175024299</c:v>
                </c:pt>
                <c:pt idx="11">
                  <c:v>128.938654960294</c:v>
                </c:pt>
                <c:pt idx="12">
                  <c:v>128.92172560899601</c:v>
                </c:pt>
                <c:pt idx="13">
                  <c:v>128.90749104317999</c:v>
                </c:pt>
                <c:pt idx="14">
                  <c:v>128.90875908361301</c:v>
                </c:pt>
              </c:numCache>
            </c:numRef>
          </c:xVal>
          <c:yVal>
            <c:numRef>
              <c:f>'1.Locations'!$D$2:$D$16</c:f>
              <c:numCache>
                <c:formatCode>General</c:formatCode>
                <c:ptCount val="15"/>
                <c:pt idx="0">
                  <c:v>37.764751264890002</c:v>
                </c:pt>
                <c:pt idx="1">
                  <c:v>37.795178163769201</c:v>
                </c:pt>
                <c:pt idx="2">
                  <c:v>37.789729888456399</c:v>
                </c:pt>
                <c:pt idx="3">
                  <c:v>37.777638889147802</c:v>
                </c:pt>
                <c:pt idx="4">
                  <c:v>37.800448038716702</c:v>
                </c:pt>
                <c:pt idx="5">
                  <c:v>37.801236165643203</c:v>
                </c:pt>
                <c:pt idx="6">
                  <c:v>37.795191717606301</c:v>
                </c:pt>
                <c:pt idx="7">
                  <c:v>37.797273475760399</c:v>
                </c:pt>
                <c:pt idx="8">
                  <c:v>37.784900898309097</c:v>
                </c:pt>
                <c:pt idx="9">
                  <c:v>37.779550453964099</c:v>
                </c:pt>
                <c:pt idx="10">
                  <c:v>37.774542716914397</c:v>
                </c:pt>
                <c:pt idx="11">
                  <c:v>37.778814783004002</c:v>
                </c:pt>
                <c:pt idx="12">
                  <c:v>37.790937549453801</c:v>
                </c:pt>
                <c:pt idx="13">
                  <c:v>37.7905870979681</c:v>
                </c:pt>
                <c:pt idx="14">
                  <c:v>37.801506297194202</c:v>
                </c:pt>
              </c:numCache>
            </c:numRef>
          </c:yVal>
          <c:smooth val="0"/>
          <c:extLst>
            <c:ext xmlns:c16="http://schemas.microsoft.com/office/drawing/2014/chart" uri="{C3380CC4-5D6E-409C-BE32-E72D297353CC}">
              <c16:uniqueId val="{00000001-433B-DE4B-9F34-9844F8ACD14C}"/>
            </c:ext>
          </c:extLst>
        </c:ser>
        <c:ser>
          <c:idx val="1"/>
          <c:order val="1"/>
          <c:tx>
            <c:strRef>
              <c:f>'5.Visualization'!$O$1</c:f>
              <c:strCache>
                <c:ptCount val="1"/>
                <c:pt idx="0">
                  <c:v>V1</c:v>
                </c:pt>
              </c:strCache>
            </c:strRef>
          </c:tx>
          <c:spPr>
            <a:ln w="38100" cap="rnd" cmpd="sng" algn="ctr">
              <a:solidFill>
                <a:schemeClr val="accent6">
                  <a:lumMod val="75000"/>
                </a:schemeClr>
              </a:solidFill>
              <a:prstDash val="solid"/>
              <a:round/>
            </a:ln>
            <a:effectLst/>
          </c:spPr>
          <c:marker>
            <c:symbol val="none"/>
          </c:marker>
          <c:xVal>
            <c:numRef>
              <c:f>'5.Visualization'!$Q$2:$Q$92</c:f>
              <c:numCache>
                <c:formatCode>General</c:formatCode>
                <c:ptCount val="91"/>
                <c:pt idx="0">
                  <c:v>128.901215118675</c:v>
                </c:pt>
                <c:pt idx="1">
                  <c:v>128.90548999999999</c:v>
                </c:pt>
                <c:pt idx="2">
                  <c:v>128.90072000000001</c:v>
                </c:pt>
                <c:pt idx="3">
                  <c:v>128.89657</c:v>
                </c:pt>
                <c:pt idx="4">
                  <c:v>128.89129</c:v>
                </c:pt>
                <c:pt idx="5">
                  <c:v>128.88641999999999</c:v>
                </c:pt>
                <c:pt idx="6">
                  <c:v>128.880935334897</c:v>
                </c:pt>
                <c:pt idx="7">
                  <c:v>128.88240999999999</c:v>
                </c:pt>
                <c:pt idx="8">
                  <c:v>128.87996999999999</c:v>
                </c:pt>
                <c:pt idx="9">
                  <c:v>128.88061999999999</c:v>
                </c:pt>
                <c:pt idx="10">
                  <c:v>128.88122000000001</c:v>
                </c:pt>
                <c:pt idx="11">
                  <c:v>128.88212999999999</c:v>
                </c:pt>
                <c:pt idx="12">
                  <c:v>128.88414860348999</c:v>
                </c:pt>
                <c:pt idx="13">
                  <c:v>128.88699</c:v>
                </c:pt>
                <c:pt idx="14">
                  <c:v>128.89019999999999</c:v>
                </c:pt>
                <c:pt idx="15">
                  <c:v>128.89152999999999</c:v>
                </c:pt>
                <c:pt idx="16">
                  <c:v>128.89251999999999</c:v>
                </c:pt>
                <c:pt idx="17">
                  <c:v>128.89434</c:v>
                </c:pt>
                <c:pt idx="18">
                  <c:v>128.89692747110601</c:v>
                </c:pt>
                <c:pt idx="19">
                  <c:v>128.89704</c:v>
                </c:pt>
                <c:pt idx="20">
                  <c:v>128.89708999999999</c:v>
                </c:pt>
                <c:pt idx="21">
                  <c:v>128.89751999999999</c:v>
                </c:pt>
                <c:pt idx="22">
                  <c:v>128.89762999999999</c:v>
                </c:pt>
                <c:pt idx="23">
                  <c:v>128.89767000000001</c:v>
                </c:pt>
                <c:pt idx="24">
                  <c:v>128.90017885179</c:v>
                </c:pt>
                <c:pt idx="25">
                  <c:v>128.89856</c:v>
                </c:pt>
                <c:pt idx="26">
                  <c:v>128.89873</c:v>
                </c:pt>
                <c:pt idx="27">
                  <c:v>128.89909</c:v>
                </c:pt>
                <c:pt idx="28">
                  <c:v>128.89911000000001</c:v>
                </c:pt>
                <c:pt idx="29">
                  <c:v>128.89940000000001</c:v>
                </c:pt>
                <c:pt idx="30">
                  <c:v>128.903057385952</c:v>
                </c:pt>
                <c:pt idx="31">
                  <c:v>128.90346</c:v>
                </c:pt>
                <c:pt idx="32">
                  <c:v>128.90432000000001</c:v>
                </c:pt>
                <c:pt idx="33">
                  <c:v>128.90525</c:v>
                </c:pt>
                <c:pt idx="34">
                  <c:v>128.90563</c:v>
                </c:pt>
                <c:pt idx="35">
                  <c:v>128.9066</c:v>
                </c:pt>
                <c:pt idx="36">
                  <c:v>128.90875908361301</c:v>
                </c:pt>
                <c:pt idx="37">
                  <c:v>128.90980999999999</c:v>
                </c:pt>
                <c:pt idx="38">
                  <c:v>128.91004000000001</c:v>
                </c:pt>
                <c:pt idx="39">
                  <c:v>128.91045</c:v>
                </c:pt>
                <c:pt idx="40">
                  <c:v>128.91075000000001</c:v>
                </c:pt>
                <c:pt idx="41">
                  <c:v>128.911</c:v>
                </c:pt>
                <c:pt idx="42">
                  <c:v>128.91126708569601</c:v>
                </c:pt>
                <c:pt idx="43">
                  <c:v>128.91172</c:v>
                </c:pt>
                <c:pt idx="44">
                  <c:v>128.91194999999999</c:v>
                </c:pt>
                <c:pt idx="45">
                  <c:v>128.91209000000001</c:v>
                </c:pt>
                <c:pt idx="46">
                  <c:v>128.91228000000001</c:v>
                </c:pt>
                <c:pt idx="47">
                  <c:v>128.91283000000001</c:v>
                </c:pt>
                <c:pt idx="48">
                  <c:v>128.916161884438</c:v>
                </c:pt>
                <c:pt idx="49">
                  <c:v>128.91685000000001</c:v>
                </c:pt>
                <c:pt idx="50">
                  <c:v>128.91720000000001</c:v>
                </c:pt>
                <c:pt idx="51">
                  <c:v>128.91783000000001</c:v>
                </c:pt>
                <c:pt idx="52">
                  <c:v>128.91839999999999</c:v>
                </c:pt>
                <c:pt idx="53">
                  <c:v>128.91887</c:v>
                </c:pt>
                <c:pt idx="54">
                  <c:v>128.92172560899601</c:v>
                </c:pt>
                <c:pt idx="55">
                  <c:v>128.92410000000001</c:v>
                </c:pt>
                <c:pt idx="56">
                  <c:v>128.92657</c:v>
                </c:pt>
                <c:pt idx="57">
                  <c:v>128.92773</c:v>
                </c:pt>
                <c:pt idx="58">
                  <c:v>128.93037000000001</c:v>
                </c:pt>
                <c:pt idx="59">
                  <c:v>128.93429</c:v>
                </c:pt>
                <c:pt idx="60">
                  <c:v>128.938654960294</c:v>
                </c:pt>
                <c:pt idx="61">
                  <c:v>128.93866</c:v>
                </c:pt>
                <c:pt idx="62">
                  <c:v>128.93878000000001</c:v>
                </c:pt>
                <c:pt idx="63">
                  <c:v>128.93975</c:v>
                </c:pt>
                <c:pt idx="64">
                  <c:v>128.93992</c:v>
                </c:pt>
                <c:pt idx="65">
                  <c:v>128.94019</c:v>
                </c:pt>
                <c:pt idx="66">
                  <c:v>128.94464175024299</c:v>
                </c:pt>
                <c:pt idx="67">
                  <c:v>128.93876</c:v>
                </c:pt>
                <c:pt idx="68">
                  <c:v>128.93108000000001</c:v>
                </c:pt>
                <c:pt idx="69">
                  <c:v>128.92376999999999</c:v>
                </c:pt>
                <c:pt idx="70">
                  <c:v>128.91827000000001</c:v>
                </c:pt>
                <c:pt idx="71">
                  <c:v>128.91404</c:v>
                </c:pt>
                <c:pt idx="72">
                  <c:v>128.90960192524901</c:v>
                </c:pt>
                <c:pt idx="73">
                  <c:v>128.90917999999999</c:v>
                </c:pt>
                <c:pt idx="74">
                  <c:v>128.90862999999999</c:v>
                </c:pt>
                <c:pt idx="75">
                  <c:v>128.90725</c:v>
                </c:pt>
                <c:pt idx="76">
                  <c:v>128.90644</c:v>
                </c:pt>
                <c:pt idx="77">
                  <c:v>128.90602000000001</c:v>
                </c:pt>
                <c:pt idx="78">
                  <c:v>128.90749104317999</c:v>
                </c:pt>
                <c:pt idx="79">
                  <c:v>128.90648999999999</c:v>
                </c:pt>
                <c:pt idx="80">
                  <c:v>128.90289000000001</c:v>
                </c:pt>
                <c:pt idx="81">
                  <c:v>128.89757</c:v>
                </c:pt>
                <c:pt idx="82">
                  <c:v>128.89449999999999</c:v>
                </c:pt>
                <c:pt idx="83">
                  <c:v>128.89542</c:v>
                </c:pt>
                <c:pt idx="84">
                  <c:v>128.89830858447601</c:v>
                </c:pt>
                <c:pt idx="85">
                  <c:v>128.8973</c:v>
                </c:pt>
                <c:pt idx="86">
                  <c:v>128.89982000000001</c:v>
                </c:pt>
                <c:pt idx="87">
                  <c:v>128.90072000000001</c:v>
                </c:pt>
                <c:pt idx="88">
                  <c:v>128.90393</c:v>
                </c:pt>
                <c:pt idx="89">
                  <c:v>128.90379999999999</c:v>
                </c:pt>
                <c:pt idx="90">
                  <c:v>128.901215118675</c:v>
                </c:pt>
              </c:numCache>
            </c:numRef>
          </c:xVal>
          <c:yVal>
            <c:numRef>
              <c:f>'5.Visualization'!$P$2:$P$92</c:f>
              <c:numCache>
                <c:formatCode>General</c:formatCode>
                <c:ptCount val="91"/>
                <c:pt idx="0">
                  <c:v>37.764751264890002</c:v>
                </c:pt>
                <c:pt idx="1">
                  <c:v>37.769030000000001</c:v>
                </c:pt>
                <c:pt idx="2">
                  <c:v>37.770789999999998</c:v>
                </c:pt>
                <c:pt idx="3">
                  <c:v>37.769979999999997</c:v>
                </c:pt>
                <c:pt idx="4">
                  <c:v>37.770910000000001</c:v>
                </c:pt>
                <c:pt idx="5">
                  <c:v>37.776980000000002</c:v>
                </c:pt>
                <c:pt idx="6">
                  <c:v>37.779550453964099</c:v>
                </c:pt>
                <c:pt idx="7">
                  <c:v>37.780290000000001</c:v>
                </c:pt>
                <c:pt idx="8">
                  <c:v>37.782850000000003</c:v>
                </c:pt>
                <c:pt idx="9">
                  <c:v>37.784170000000003</c:v>
                </c:pt>
                <c:pt idx="10">
                  <c:v>37.784230000000001</c:v>
                </c:pt>
                <c:pt idx="11">
                  <c:v>37.78398</c:v>
                </c:pt>
                <c:pt idx="12">
                  <c:v>37.784900898309097</c:v>
                </c:pt>
                <c:pt idx="13">
                  <c:v>37.786090000000002</c:v>
                </c:pt>
                <c:pt idx="14">
                  <c:v>37.785510000000002</c:v>
                </c:pt>
                <c:pt idx="15">
                  <c:v>37.785719999999998</c:v>
                </c:pt>
                <c:pt idx="16">
                  <c:v>37.78642</c:v>
                </c:pt>
                <c:pt idx="17">
                  <c:v>37.788539999999998</c:v>
                </c:pt>
                <c:pt idx="18">
                  <c:v>37.795191717606301</c:v>
                </c:pt>
                <c:pt idx="19">
                  <c:v>37.795169999999999</c:v>
                </c:pt>
                <c:pt idx="20">
                  <c:v>37.79533</c:v>
                </c:pt>
                <c:pt idx="21">
                  <c:v>37.796720000000001</c:v>
                </c:pt>
                <c:pt idx="22">
                  <c:v>37.796979999999998</c:v>
                </c:pt>
                <c:pt idx="23">
                  <c:v>37.797049999999999</c:v>
                </c:pt>
                <c:pt idx="24">
                  <c:v>37.797273475760399</c:v>
                </c:pt>
                <c:pt idx="25">
                  <c:v>37.798189999999998</c:v>
                </c:pt>
                <c:pt idx="26">
                  <c:v>37.798380000000002</c:v>
                </c:pt>
                <c:pt idx="27">
                  <c:v>37.798699999999997</c:v>
                </c:pt>
                <c:pt idx="28">
                  <c:v>37.798720000000003</c:v>
                </c:pt>
                <c:pt idx="29">
                  <c:v>37.798920000000003</c:v>
                </c:pt>
                <c:pt idx="30">
                  <c:v>37.801236165643203</c:v>
                </c:pt>
                <c:pt idx="31">
                  <c:v>37.801549999999999</c:v>
                </c:pt>
                <c:pt idx="32">
                  <c:v>37.802460000000004</c:v>
                </c:pt>
                <c:pt idx="33">
                  <c:v>37.803809999999999</c:v>
                </c:pt>
                <c:pt idx="34">
                  <c:v>37.804070000000003</c:v>
                </c:pt>
                <c:pt idx="35">
                  <c:v>37.804340000000003</c:v>
                </c:pt>
                <c:pt idx="36">
                  <c:v>37.801506297194202</c:v>
                </c:pt>
                <c:pt idx="37">
                  <c:v>37.802259999999997</c:v>
                </c:pt>
                <c:pt idx="38">
                  <c:v>37.802070000000001</c:v>
                </c:pt>
                <c:pt idx="39">
                  <c:v>37.801679999999998</c:v>
                </c:pt>
                <c:pt idx="40">
                  <c:v>37.801319999999997</c:v>
                </c:pt>
                <c:pt idx="41">
                  <c:v>37.800930000000001</c:v>
                </c:pt>
                <c:pt idx="42">
                  <c:v>37.800448038716702</c:v>
                </c:pt>
                <c:pt idx="43">
                  <c:v>37.798479999999998</c:v>
                </c:pt>
                <c:pt idx="44">
                  <c:v>37.797499999999999</c:v>
                </c:pt>
                <c:pt idx="45">
                  <c:v>37.79692</c:v>
                </c:pt>
                <c:pt idx="46">
                  <c:v>37.79645</c:v>
                </c:pt>
                <c:pt idx="47">
                  <c:v>37.79589</c:v>
                </c:pt>
                <c:pt idx="48">
                  <c:v>37.795178163769201</c:v>
                </c:pt>
                <c:pt idx="49">
                  <c:v>37.795409999999997</c:v>
                </c:pt>
                <c:pt idx="50">
                  <c:v>37.795079999999999</c:v>
                </c:pt>
                <c:pt idx="51">
                  <c:v>37.794780000000003</c:v>
                </c:pt>
                <c:pt idx="52">
                  <c:v>37.79457</c:v>
                </c:pt>
                <c:pt idx="53">
                  <c:v>37.7941</c:v>
                </c:pt>
                <c:pt idx="54">
                  <c:v>37.790937549453801</c:v>
                </c:pt>
                <c:pt idx="55">
                  <c:v>37.788939999999997</c:v>
                </c:pt>
                <c:pt idx="56">
                  <c:v>37.787370000000003</c:v>
                </c:pt>
                <c:pt idx="57">
                  <c:v>37.78698</c:v>
                </c:pt>
                <c:pt idx="58">
                  <c:v>37.784829999999999</c:v>
                </c:pt>
                <c:pt idx="59">
                  <c:v>37.78199</c:v>
                </c:pt>
                <c:pt idx="60">
                  <c:v>37.778814783004002</c:v>
                </c:pt>
                <c:pt idx="61">
                  <c:v>37.778820000000003</c:v>
                </c:pt>
                <c:pt idx="62">
                  <c:v>37.778730000000003</c:v>
                </c:pt>
                <c:pt idx="63">
                  <c:v>37.778030000000001</c:v>
                </c:pt>
                <c:pt idx="64">
                  <c:v>37.777920000000002</c:v>
                </c:pt>
                <c:pt idx="65">
                  <c:v>37.777720000000002</c:v>
                </c:pt>
                <c:pt idx="66">
                  <c:v>37.774542716914397</c:v>
                </c:pt>
                <c:pt idx="67">
                  <c:v>37.777509999999999</c:v>
                </c:pt>
                <c:pt idx="68">
                  <c:v>37.782119999999999</c:v>
                </c:pt>
                <c:pt idx="69">
                  <c:v>37.78678</c:v>
                </c:pt>
                <c:pt idx="70">
                  <c:v>37.792819999999999</c:v>
                </c:pt>
                <c:pt idx="71">
                  <c:v>37.792969999999997</c:v>
                </c:pt>
                <c:pt idx="72">
                  <c:v>37.789729888456399</c:v>
                </c:pt>
                <c:pt idx="73">
                  <c:v>37.789169999999999</c:v>
                </c:pt>
                <c:pt idx="74">
                  <c:v>37.788319999999999</c:v>
                </c:pt>
                <c:pt idx="75">
                  <c:v>37.786810000000003</c:v>
                </c:pt>
                <c:pt idx="76">
                  <c:v>37.788130000000002</c:v>
                </c:pt>
                <c:pt idx="77">
                  <c:v>37.789439999999999</c:v>
                </c:pt>
                <c:pt idx="78">
                  <c:v>37.7905870979681</c:v>
                </c:pt>
                <c:pt idx="79">
                  <c:v>37.786450000000002</c:v>
                </c:pt>
                <c:pt idx="80">
                  <c:v>37.783619999999999</c:v>
                </c:pt>
                <c:pt idx="81">
                  <c:v>37.781999999999996</c:v>
                </c:pt>
                <c:pt idx="82">
                  <c:v>37.781030000000001</c:v>
                </c:pt>
                <c:pt idx="83">
                  <c:v>37.779769999999999</c:v>
                </c:pt>
                <c:pt idx="84">
                  <c:v>37.777638889147802</c:v>
                </c:pt>
                <c:pt idx="85">
                  <c:v>37.775660000000002</c:v>
                </c:pt>
                <c:pt idx="86">
                  <c:v>37.773510000000002</c:v>
                </c:pt>
                <c:pt idx="87">
                  <c:v>37.770789999999998</c:v>
                </c:pt>
                <c:pt idx="88">
                  <c:v>37.770339999999997</c:v>
                </c:pt>
                <c:pt idx="89">
                  <c:v>37.767629999999997</c:v>
                </c:pt>
                <c:pt idx="90">
                  <c:v>37.764751264890002</c:v>
                </c:pt>
              </c:numCache>
            </c:numRef>
          </c:yVal>
          <c:smooth val="0"/>
          <c:extLst>
            <c:ext xmlns:c16="http://schemas.microsoft.com/office/drawing/2014/chart" uri="{C3380CC4-5D6E-409C-BE32-E72D297353CC}">
              <c16:uniqueId val="{00000011-433B-DE4B-9F34-9844F8ACD14C}"/>
            </c:ext>
          </c:extLst>
        </c:ser>
        <c:ser>
          <c:idx val="2"/>
          <c:order val="2"/>
          <c:tx>
            <c:strRef>
              <c:f>'5.Visualization'!$R$1</c:f>
              <c:strCache>
                <c:ptCount val="1"/>
                <c:pt idx="0">
                  <c:v>V2</c:v>
                </c:pt>
              </c:strCache>
            </c:strRef>
          </c:tx>
          <c:spPr>
            <a:ln w="22225" cap="rnd" cmpd="sng" algn="ctr">
              <a:noFill/>
              <a:prstDash val="solid"/>
              <a:round/>
            </a:ln>
            <a:effectLst/>
            <a:extLst>
              <a:ext uri="{91240B29-F687-4F45-9708-019B960494DF}">
                <a14:hiddenLine xmlns:a14="http://schemas.microsoft.com/office/drawing/2010/main" w="22225" cap="rnd" cmpd="sng" algn="ctr">
                  <a:solidFill>
                    <a:srgbClr val="9BBB59">
                      <a:shade val="95000"/>
                      <a:satMod val="105000"/>
                    </a:srgbClr>
                  </a:solidFill>
                  <a:prstDash val="solid"/>
                  <a:round/>
                </a14:hiddenLine>
              </a:ext>
            </a:extLst>
          </c:spPr>
          <c:marker>
            <c:symbol val="none"/>
          </c:marker>
          <c:xVal>
            <c:numRef>
              <c:f>'5.Visualization'!$T$2:$T$92</c:f>
              <c:numCache>
                <c:formatCode>General</c:formatCode>
                <c:ptCount val="91"/>
                <c:pt idx="0">
                  <c:v>128.901215118675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numCache>
            </c:numRef>
          </c:xVal>
          <c:yVal>
            <c:numRef>
              <c:f>'5.Visualization'!$S$2:$S$92</c:f>
              <c:numCache>
                <c:formatCode>General</c:formatCode>
                <c:ptCount val="91"/>
                <c:pt idx="0">
                  <c:v>37.764751264890002</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numCache>
            </c:numRef>
          </c:yVal>
          <c:smooth val="0"/>
          <c:extLst>
            <c:ext xmlns:c16="http://schemas.microsoft.com/office/drawing/2014/chart" uri="{C3380CC4-5D6E-409C-BE32-E72D297353CC}">
              <c16:uniqueId val="{00000012-433B-DE4B-9F34-9844F8ACD14C}"/>
            </c:ext>
          </c:extLst>
        </c:ser>
        <c:ser>
          <c:idx val="3"/>
          <c:order val="3"/>
          <c:tx>
            <c:strRef>
              <c:f>'5.Visualization'!$U$1</c:f>
              <c:strCache>
                <c:ptCount val="1"/>
                <c:pt idx="0">
                  <c:v>V3</c:v>
                </c:pt>
              </c:strCache>
            </c:strRef>
          </c:tx>
          <c:spPr>
            <a:ln w="22225" cap="rnd" cmpd="sng" algn="ctr">
              <a:noFill/>
              <a:prstDash val="solid"/>
              <a:round/>
            </a:ln>
            <a:effectLst/>
            <a:extLst>
              <a:ext uri="{91240B29-F687-4F45-9708-019B960494DF}">
                <a14:hiddenLine xmlns:a14="http://schemas.microsoft.com/office/drawing/2010/main" w="22225" cap="rnd" cmpd="sng" algn="ctr">
                  <a:solidFill>
                    <a:srgbClr val="8064A2">
                      <a:shade val="95000"/>
                      <a:satMod val="105000"/>
                    </a:srgbClr>
                  </a:solidFill>
                  <a:prstDash val="solid"/>
                  <a:round/>
                </a14:hiddenLine>
              </a:ext>
            </a:extLst>
          </c:spPr>
          <c:marker>
            <c:symbol val="none"/>
          </c:marker>
          <c:xVal>
            <c:numRef>
              <c:f>'5.Visualization'!$W$2:$W$92</c:f>
              <c:numCache>
                <c:formatCode>General</c:formatCode>
                <c:ptCount val="91"/>
                <c:pt idx="0">
                  <c:v>128.901215118675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numCache>
            </c:numRef>
          </c:xVal>
          <c:yVal>
            <c:numRef>
              <c:f>'5.Visualization'!$V$2:$V$92</c:f>
              <c:numCache>
                <c:formatCode>General</c:formatCode>
                <c:ptCount val="91"/>
                <c:pt idx="0">
                  <c:v>37.764751264890002</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numCache>
            </c:numRef>
          </c:yVal>
          <c:smooth val="0"/>
          <c:extLst>
            <c:ext xmlns:c16="http://schemas.microsoft.com/office/drawing/2014/chart" uri="{C3380CC4-5D6E-409C-BE32-E72D297353CC}">
              <c16:uniqueId val="{00000013-433B-DE4B-9F34-9844F8ACD14C}"/>
            </c:ext>
          </c:extLst>
        </c:ser>
        <c:dLbls>
          <c:showLegendKey val="0"/>
          <c:showVal val="0"/>
          <c:showCatName val="0"/>
          <c:showSerName val="0"/>
          <c:showPercent val="0"/>
          <c:showBubbleSize val="0"/>
        </c:dLbls>
        <c:axId val="1077251872"/>
        <c:axId val="1092249552"/>
      </c:scatterChart>
      <c:valAx>
        <c:axId val="1077251872"/>
        <c:scaling>
          <c:orientation val="minMax"/>
          <c:max val="128.96318435668945"/>
          <c:min val="128.85332107543945"/>
        </c:scaling>
        <c:delete val="1"/>
        <c:axPos val="b"/>
        <c:numFmt formatCode="General" sourceLinked="1"/>
        <c:majorTickMark val="out"/>
        <c:minorTickMark val="none"/>
        <c:tickLblPos val="nextTo"/>
        <c:crossAx val="1092249552"/>
        <c:crosses val="autoZero"/>
        <c:crossBetween val="midCat"/>
      </c:valAx>
      <c:valAx>
        <c:axId val="1092249552"/>
        <c:scaling>
          <c:orientation val="minMax"/>
          <c:max val="37.83148014503287"/>
          <c:min val="37.744657120699372"/>
        </c:scaling>
        <c:delete val="1"/>
        <c:axPos val="l"/>
        <c:numFmt formatCode="General" sourceLinked="1"/>
        <c:majorTickMark val="out"/>
        <c:minorTickMark val="none"/>
        <c:tickLblPos val="nextTo"/>
        <c:crossAx val="1077251872"/>
        <c:crosses val="autoZero"/>
        <c:crossBetween val="midCat"/>
      </c:valAx>
      <c:spPr>
        <a:blipFill dpi="0" rotWithShape="1">
          <a:blip xmlns:r="http://schemas.openxmlformats.org/officeDocument/2006/relationships" r:embed="rId1">
            <a:alphaModFix amt="50000"/>
          </a:blip>
          <a:srcRect/>
          <a:stretch>
            <a:fillRect/>
          </a:stretch>
        </a:blipFill>
        <a:ln w="12700">
          <a:solidFill>
            <a:srgbClr val="FFFFFF"/>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0</xdr:rowOff>
    </xdr:from>
    <xdr:to>
      <xdr:col>7</xdr:col>
      <xdr:colOff>571500</xdr:colOff>
      <xdr:row>28</xdr:row>
      <xdr:rowOff>25400</xdr:rowOff>
    </xdr:to>
    <xdr:graphicFrame macro="">
      <xdr:nvGraphicFramePr>
        <xdr:cNvPr id="2" name="Chart 1">
          <a:extLst>
            <a:ext uri="{FF2B5EF4-FFF2-40B4-BE49-F238E27FC236}">
              <a16:creationId xmlns:a16="http://schemas.microsoft.com/office/drawing/2014/main" id="{31F31271-8666-6F02-AAFB-905565EA489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ngmapsportal.com/%20adresinden%20&#252;cretsiz%20deneme%20anahtar&#305;%20edinebilirsiniz."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4"/>
  <sheetViews>
    <sheetView view="pageLayout" zoomScaleNormal="100" workbookViewId="0">
      <selection activeCell="A4" sqref="A4"/>
    </sheetView>
  </sheetViews>
  <sheetFormatPr baseColWidth="10" defaultColWidth="9.1640625" defaultRowHeight="15" x14ac:dyDescent="0.2"/>
  <cols>
    <col min="1" max="1" width="80.33203125" customWidth="1"/>
  </cols>
  <sheetData>
    <row r="1" spans="1:1" x14ac:dyDescent="0.2">
      <c r="A1" t="s">
        <v>4070</v>
      </c>
    </row>
    <row r="2" spans="1:1" x14ac:dyDescent="0.2">
      <c r="A2" t="s">
        <v>4071</v>
      </c>
    </row>
    <row r="4" spans="1:1" ht="128" x14ac:dyDescent="0.2">
      <c r="A4" s="18" t="s">
        <v>4072</v>
      </c>
    </row>
  </sheetData>
  <pageMargins left="0.7" right="0.7" top="0.75" bottom="0.75" header="0.3" footer="0.3"/>
  <pageSetup paperSize="9" orientation="portrait" r:id="rId1"/>
  <headerFooter>
    <oddHeader>&amp;C&amp;K00+000Bismillahirrahmanirrahim
Allahumme salli ala rasulina Muhammed</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6"/>
  <sheetViews>
    <sheetView zoomScale="115" zoomScaleNormal="100" workbookViewId="0">
      <selection activeCell="C12" sqref="C12"/>
    </sheetView>
  </sheetViews>
  <sheetFormatPr baseColWidth="10" defaultColWidth="9.1640625" defaultRowHeight="15" x14ac:dyDescent="0.2"/>
  <cols>
    <col min="1" max="1" width="20.6640625" bestFit="1" customWidth="1"/>
    <col min="2" max="2" width="32.1640625" bestFit="1" customWidth="1"/>
    <col min="3" max="3" width="61.83203125" bestFit="1" customWidth="1"/>
    <col min="4" max="4" width="54.83203125" bestFit="1" customWidth="1"/>
  </cols>
  <sheetData>
    <row r="1" spans="1:4" s="5" customFormat="1" x14ac:dyDescent="0.2">
      <c r="A1" s="1" t="s">
        <v>0</v>
      </c>
      <c r="B1" s="1" t="s">
        <v>1</v>
      </c>
      <c r="C1" s="1" t="s">
        <v>2</v>
      </c>
      <c r="D1" s="1" t="s">
        <v>3</v>
      </c>
    </row>
    <row r="2" spans="1:4" x14ac:dyDescent="0.2">
      <c r="A2" s="14" t="s">
        <v>102</v>
      </c>
      <c r="B2" s="15" t="s">
        <v>106</v>
      </c>
      <c r="C2" s="16" t="s">
        <v>37</v>
      </c>
      <c r="D2" s="15" t="s">
        <v>114</v>
      </c>
    </row>
    <row r="3" spans="1:4" x14ac:dyDescent="0.2">
      <c r="A3" s="3"/>
      <c r="B3" s="3" t="s">
        <v>338</v>
      </c>
      <c r="C3" s="6" t="s">
        <v>4295</v>
      </c>
      <c r="D3" s="3" t="s">
        <v>28</v>
      </c>
    </row>
    <row r="5" spans="1:4" x14ac:dyDescent="0.2">
      <c r="A5" s="4" t="s">
        <v>4</v>
      </c>
      <c r="B5" s="3" t="s">
        <v>22</v>
      </c>
      <c r="C5" s="6">
        <v>1</v>
      </c>
      <c r="D5" s="3" t="s">
        <v>4000</v>
      </c>
    </row>
    <row r="6" spans="1:4" x14ac:dyDescent="0.2">
      <c r="A6" s="2"/>
      <c r="B6" s="2" t="s">
        <v>5</v>
      </c>
      <c r="C6" s="7">
        <v>14</v>
      </c>
      <c r="D6" s="2" t="s">
        <v>4001</v>
      </c>
    </row>
    <row r="8" spans="1:4" x14ac:dyDescent="0.2">
      <c r="A8" s="4" t="s">
        <v>6</v>
      </c>
      <c r="B8" s="3" t="s">
        <v>33</v>
      </c>
      <c r="C8" s="6" t="s">
        <v>27</v>
      </c>
      <c r="D8" s="3" t="s">
        <v>29</v>
      </c>
    </row>
    <row r="9" spans="1:4" x14ac:dyDescent="0.2">
      <c r="A9" s="2"/>
      <c r="B9" s="2" t="s">
        <v>34</v>
      </c>
      <c r="C9" s="7" t="s">
        <v>35</v>
      </c>
      <c r="D9" s="2"/>
    </row>
    <row r="10" spans="1:4" x14ac:dyDescent="0.2">
      <c r="A10" s="2"/>
      <c r="B10" s="2" t="s">
        <v>4216</v>
      </c>
      <c r="C10" s="7" t="s">
        <v>4213</v>
      </c>
      <c r="D10" s="2"/>
    </row>
    <row r="11" spans="1:4" x14ac:dyDescent="0.2">
      <c r="A11" s="2"/>
      <c r="B11" s="2" t="s">
        <v>7</v>
      </c>
      <c r="C11" s="7" t="s">
        <v>8</v>
      </c>
      <c r="D11" s="2" t="s">
        <v>30</v>
      </c>
    </row>
    <row r="12" spans="1:4" x14ac:dyDescent="0.2">
      <c r="A12" s="2"/>
      <c r="B12" s="2" t="s">
        <v>3999</v>
      </c>
      <c r="C12" s="7">
        <v>5</v>
      </c>
      <c r="D12" s="2" t="s">
        <v>4002</v>
      </c>
    </row>
    <row r="13" spans="1:4" x14ac:dyDescent="0.2">
      <c r="A13" s="2"/>
      <c r="B13" s="2" t="s">
        <v>9</v>
      </c>
      <c r="C13" s="7">
        <v>25</v>
      </c>
      <c r="D13" s="2"/>
    </row>
    <row r="15" spans="1:4" x14ac:dyDescent="0.2">
      <c r="A15" s="4" t="s">
        <v>10</v>
      </c>
      <c r="B15" s="3" t="s">
        <v>11</v>
      </c>
      <c r="C15" s="6">
        <v>1</v>
      </c>
      <c r="D15" s="3"/>
    </row>
    <row r="17" spans="1:4" x14ac:dyDescent="0.2">
      <c r="A17" s="4" t="s">
        <v>12</v>
      </c>
      <c r="B17" s="3" t="s">
        <v>31</v>
      </c>
      <c r="C17" s="6" t="s">
        <v>32</v>
      </c>
      <c r="D17" s="3"/>
    </row>
    <row r="18" spans="1:4" x14ac:dyDescent="0.2">
      <c r="A18" s="2"/>
      <c r="B18" s="2" t="s">
        <v>14</v>
      </c>
      <c r="C18" s="7" t="s">
        <v>15</v>
      </c>
      <c r="D18" s="2"/>
    </row>
    <row r="19" spans="1:4" x14ac:dyDescent="0.2">
      <c r="A19" s="2"/>
      <c r="B19" s="2" t="s">
        <v>23</v>
      </c>
      <c r="C19" s="7" t="s">
        <v>165</v>
      </c>
      <c r="D19" s="2" t="s">
        <v>25</v>
      </c>
    </row>
    <row r="21" spans="1:4" x14ac:dyDescent="0.2">
      <c r="A21" s="4" t="s">
        <v>16</v>
      </c>
      <c r="B21" s="3" t="s">
        <v>17</v>
      </c>
      <c r="C21" s="6" t="s">
        <v>26</v>
      </c>
      <c r="D21" s="3"/>
    </row>
    <row r="22" spans="1:4" x14ac:dyDescent="0.2">
      <c r="A22" s="2"/>
      <c r="B22" s="2" t="s">
        <v>18</v>
      </c>
      <c r="C22" s="7" t="s">
        <v>554</v>
      </c>
      <c r="D22" s="2"/>
    </row>
    <row r="24" spans="1:4" x14ac:dyDescent="0.2">
      <c r="A24" s="4" t="s">
        <v>19</v>
      </c>
      <c r="B24" s="3" t="s">
        <v>20</v>
      </c>
      <c r="C24" s="6" t="s">
        <v>13</v>
      </c>
      <c r="D24" s="3"/>
    </row>
    <row r="25" spans="1:4" x14ac:dyDescent="0.2">
      <c r="A25" s="2"/>
      <c r="B25" s="2" t="s">
        <v>24</v>
      </c>
      <c r="C25" s="7" t="s">
        <v>165</v>
      </c>
      <c r="D25" s="2"/>
    </row>
    <row r="26" spans="1:4" x14ac:dyDescent="0.2">
      <c r="A26" s="2"/>
      <c r="B26" s="2" t="s">
        <v>21</v>
      </c>
      <c r="C26" s="7">
        <v>60</v>
      </c>
      <c r="D26" s="2" t="str">
        <f>CONCATENATE("Recommendation: At least ", 60 * CEILING(C6 * C6 * C6 / 100000, 1)," seconds")</f>
        <v>Recommendation: At least 60 seconds</v>
      </c>
    </row>
  </sheetData>
  <phoneticPr fontId="3" type="noConversion"/>
  <dataValidations count="15">
    <dataValidation type="list" allowBlank="1" showInputMessage="1" showErrorMessage="1" sqref="C8" xr:uid="{FD1FEEA3-E817-4A4A-92F6-85AE08AF8BAC}">
      <formula1>"Manual entry,Euclidian distances,Rounded Euclidian distances,Rectilinear (Manhattan) distances,Bird flight distances (km),Bird flight distances (miles),Bing Maps driving distances (km),Bing Maps driving distances (miles)"</formula1>
    </dataValidation>
    <dataValidation type="list" allowBlank="1" showInputMessage="1" showErrorMessage="1" sqref="C9" xr:uid="{AC9731C0-3C43-4FC7-AAC6-FA9DB77AFDC0}">
      <formula1>"Manual entry,Average vehicle speed,Bing Maps driving durations"</formula1>
    </dataValidation>
    <dataValidation type="list" allowBlank="1" showInputMessage="1" showErrorMessage="1" sqref="C11" xr:uid="{AB9028E8-EA04-4B58-B740-064113EFA089}">
      <formula1>"Shortest,Fastest,Fastest - Real Time Traffic"</formula1>
    </dataValidation>
    <dataValidation type="list" allowBlank="1" showInputMessage="1" showErrorMessage="1" sqref="C17" xr:uid="{52582727-C0D0-4726-B8BC-1963AEF5EDBE}">
      <formula1>"No,Yes - only once at the end,Yes - may do so multiple times"</formula1>
    </dataValidation>
    <dataValidation type="list" allowBlank="1" showInputMessage="1" showErrorMessage="1" sqref="C18" xr:uid="{5FB593C8-44B6-4FFF-A4CF-0D86FDB8E2E5}">
      <formula1>"Hard,Soft"</formula1>
    </dataValidation>
    <dataValidation type="list" allowBlank="1" showInputMessage="1" showErrorMessage="1" sqref="C19 C24 C25" xr:uid="{A1FC6B4D-F189-43B7-A372-62E6CEC50A88}">
      <formula1>"Yes,No"</formula1>
    </dataValidation>
    <dataValidation type="list" allowBlank="1" showInputMessage="1" showErrorMessage="1" sqref="C21" xr:uid="{AE8C0E0F-3D39-49C6-BE6C-DB95C4EADF16}">
      <formula1>"Blank,Bing Maps"</formula1>
    </dataValidation>
    <dataValidation type="list" allowBlank="1" showInputMessage="1" showErrorMessage="1" sqref="C22" xr:uid="{91E4CC1A-D0BC-42DB-805C-3E3B0A2FDF8C}">
      <formula1>"Blank,Location IDs,Location names,(Time window start;Time window end),Service time,Pickup amount,Delivery amount,(Pickup amount; Delivery amount),Profit"</formula1>
    </dataValidation>
    <dataValidation type="list" allowBlank="1" showInputMessage="1" showErrorMessage="1" sqref="C10" xr:uid="{461AF00C-A399-47A9-8E54-40EA4DB8DD76}">
      <formula1>"Driving,Truck,Walking"</formula1>
    </dataValidation>
    <dataValidation type="whole" allowBlank="1" showInputMessage="1" showErrorMessage="1" error="Please enter an integer from 1 to 20" sqref="C5" xr:uid="{7E9E60AC-9ED6-4799-BD98-FB467B3F17F9}">
      <formula1>1</formula1>
      <formula2>20</formula2>
    </dataValidation>
    <dataValidation type="whole" allowBlank="1" showInputMessage="1" showErrorMessage="1" error="Please enter an integer from 5 to 200" sqref="C6" xr:uid="{61FF95F3-FB70-4B03-85F9-E392E24224DE}">
      <formula1>5</formula1>
      <formula2>200</formula2>
    </dataValidation>
    <dataValidation type="whole" allowBlank="1" showInputMessage="1" showErrorMessage="1" error="Please enter an integer from 0 to 10" sqref="C12" xr:uid="{671D59C7-0B17-493C-8315-0DD8FBC6C6C4}">
      <formula1>0</formula1>
      <formula2>10</formula2>
    </dataValidation>
    <dataValidation type="decimal" operator="greaterThan" allowBlank="1" showInputMessage="1" showErrorMessage="1" error="Please enter a positive value" sqref="C13" xr:uid="{347149CC-10DB-46FB-9459-B398F8B71D74}">
      <formula1>0.0001</formula1>
    </dataValidation>
    <dataValidation type="whole" allowBlank="1" showInputMessage="1" showErrorMessage="1" error="Please enter an integer from 1 to 10" sqref="C15" xr:uid="{6A53E369-F175-4CDB-9361-F25762FABDF4}">
      <formula1>1</formula1>
      <formula2>10</formula2>
    </dataValidation>
    <dataValidation type="decimal" operator="greaterThanOrEqual" allowBlank="1" showInputMessage="1" showErrorMessage="1" error="Please enter a value greater than or equal to 10 seconds." sqref="C26" xr:uid="{B108F01D-A8B3-4979-AE4F-C29D909C9C83}">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327820BE-E06E-42FB-8CD2-AB764B77F2D4}">
          <x14:formula1>
            <xm:f>MultiLanguageInterface!A1:N1</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27"/>
  <sheetViews>
    <sheetView zoomScaleNormal="100" workbookViewId="0">
      <selection activeCell="A19" sqref="A19"/>
    </sheetView>
  </sheetViews>
  <sheetFormatPr baseColWidth="10" defaultColWidth="40.6640625" defaultRowHeight="15" x14ac:dyDescent="0.2"/>
  <cols>
    <col min="1" max="1" width="19.33203125" bestFit="1" customWidth="1"/>
    <col min="2" max="2" width="42.5" bestFit="1" customWidth="1"/>
    <col min="3" max="3" width="45.33203125" bestFit="1" customWidth="1"/>
    <col min="4" max="4" width="59.33203125" bestFit="1" customWidth="1"/>
    <col min="5" max="5" width="66" bestFit="1" customWidth="1"/>
    <col min="6" max="6" width="66" customWidth="1"/>
    <col min="7" max="7" width="49.33203125" bestFit="1" customWidth="1"/>
    <col min="8" max="8" width="50.83203125" bestFit="1" customWidth="1"/>
  </cols>
  <sheetData>
    <row r="1" spans="1:15" ht="16" thickBot="1" x14ac:dyDescent="0.25">
      <c r="A1" s="8" t="s">
        <v>36</v>
      </c>
      <c r="B1" s="8" t="s">
        <v>37</v>
      </c>
      <c r="C1" s="9" t="s">
        <v>38</v>
      </c>
      <c r="D1" s="9" t="s">
        <v>39</v>
      </c>
      <c r="E1" s="9" t="s">
        <v>40</v>
      </c>
      <c r="F1" s="9" t="s">
        <v>41</v>
      </c>
      <c r="G1" s="9" t="s">
        <v>42</v>
      </c>
      <c r="H1" s="9" t="s">
        <v>43</v>
      </c>
      <c r="I1" s="9" t="s">
        <v>44</v>
      </c>
      <c r="J1" s="9" t="s">
        <v>2300</v>
      </c>
      <c r="K1" s="9" t="s">
        <v>2301</v>
      </c>
      <c r="L1" s="9" t="s">
        <v>2302</v>
      </c>
      <c r="M1" s="9" t="s">
        <v>2303</v>
      </c>
      <c r="N1" s="9" t="s">
        <v>3463</v>
      </c>
      <c r="O1" s="9" t="s">
        <v>3464</v>
      </c>
    </row>
    <row r="2" spans="1:15" x14ac:dyDescent="0.2">
      <c r="A2" s="10" t="s">
        <v>339</v>
      </c>
      <c r="B2" s="10" t="s">
        <v>340</v>
      </c>
      <c r="C2" s="6" t="s">
        <v>375</v>
      </c>
      <c r="D2" s="6" t="s">
        <v>340</v>
      </c>
      <c r="E2" s="6" t="s">
        <v>399</v>
      </c>
      <c r="F2" s="6" t="s">
        <v>418</v>
      </c>
      <c r="G2" s="6" t="s">
        <v>435</v>
      </c>
      <c r="H2" s="6" t="s">
        <v>340</v>
      </c>
      <c r="I2" s="6" t="s">
        <v>340</v>
      </c>
      <c r="J2" s="6" t="s">
        <v>340</v>
      </c>
      <c r="K2" s="6" t="s">
        <v>2334</v>
      </c>
      <c r="L2" s="6" t="s">
        <v>2358</v>
      </c>
      <c r="M2" s="6" t="s">
        <v>2383</v>
      </c>
      <c r="N2" s="6" t="s">
        <v>3788</v>
      </c>
      <c r="O2" s="6" t="s">
        <v>3891</v>
      </c>
    </row>
    <row r="3" spans="1:15" x14ac:dyDescent="0.2">
      <c r="A3" s="10" t="s">
        <v>62</v>
      </c>
      <c r="B3" s="10" t="s">
        <v>45</v>
      </c>
      <c r="C3" s="6" t="s">
        <v>46</v>
      </c>
      <c r="D3" s="6" t="s">
        <v>47</v>
      </c>
      <c r="E3" s="6" t="s">
        <v>48</v>
      </c>
      <c r="F3" s="6" t="s">
        <v>49</v>
      </c>
      <c r="G3" s="6" t="s">
        <v>50</v>
      </c>
      <c r="H3" s="6" t="s">
        <v>51</v>
      </c>
      <c r="I3" s="6" t="s">
        <v>52</v>
      </c>
      <c r="J3" s="6" t="s">
        <v>2311</v>
      </c>
      <c r="K3" s="6" t="s">
        <v>2335</v>
      </c>
      <c r="L3" s="6" t="s">
        <v>2359</v>
      </c>
      <c r="M3" s="6" t="s">
        <v>2384</v>
      </c>
      <c r="N3" s="6" t="s">
        <v>3964</v>
      </c>
      <c r="O3" s="6" t="s">
        <v>3980</v>
      </c>
    </row>
    <row r="4" spans="1:15" x14ac:dyDescent="0.2">
      <c r="A4" s="10" t="s">
        <v>53</v>
      </c>
      <c r="B4" s="10" t="s">
        <v>54</v>
      </c>
      <c r="C4" s="6" t="s">
        <v>55</v>
      </c>
      <c r="D4" s="6" t="s">
        <v>56</v>
      </c>
      <c r="E4" s="6" t="s">
        <v>57</v>
      </c>
      <c r="F4" s="6" t="s">
        <v>58</v>
      </c>
      <c r="G4" s="6" t="s">
        <v>59</v>
      </c>
      <c r="H4" s="6" t="s">
        <v>60</v>
      </c>
      <c r="I4" s="6" t="s">
        <v>61</v>
      </c>
      <c r="J4" s="6" t="s">
        <v>2312</v>
      </c>
      <c r="K4" s="6" t="s">
        <v>2336</v>
      </c>
      <c r="L4" s="6" t="s">
        <v>2360</v>
      </c>
      <c r="M4" s="6" t="s">
        <v>2385</v>
      </c>
      <c r="N4" s="6" t="s">
        <v>3965</v>
      </c>
      <c r="O4" s="6" t="s">
        <v>3981</v>
      </c>
    </row>
    <row r="5" spans="1:15" x14ac:dyDescent="0.2">
      <c r="A5" s="10" t="s">
        <v>66</v>
      </c>
      <c r="B5" s="10" t="s">
        <v>341</v>
      </c>
      <c r="C5" s="6" t="s">
        <v>363</v>
      </c>
      <c r="D5" s="6" t="s">
        <v>381</v>
      </c>
      <c r="E5" s="6" t="s">
        <v>400</v>
      </c>
      <c r="F5" s="6" t="s">
        <v>419</v>
      </c>
      <c r="G5" s="6" t="s">
        <v>436</v>
      </c>
      <c r="H5" s="6" t="s">
        <v>454</v>
      </c>
      <c r="I5" s="6" t="s">
        <v>470</v>
      </c>
      <c r="J5" s="6" t="s">
        <v>2313</v>
      </c>
      <c r="K5" s="6" t="s">
        <v>2337</v>
      </c>
      <c r="L5" s="6" t="s">
        <v>2361</v>
      </c>
      <c r="M5" s="6" t="s">
        <v>2386</v>
      </c>
      <c r="N5" s="6" t="s">
        <v>3601</v>
      </c>
      <c r="O5" s="6" t="s">
        <v>2313</v>
      </c>
    </row>
    <row r="6" spans="1:15" x14ac:dyDescent="0.2">
      <c r="A6" s="10" t="s">
        <v>63</v>
      </c>
      <c r="B6" s="10" t="s">
        <v>342</v>
      </c>
      <c r="C6" s="6" t="s">
        <v>379</v>
      </c>
      <c r="D6" s="6" t="s">
        <v>382</v>
      </c>
      <c r="E6" s="6" t="s">
        <v>401</v>
      </c>
      <c r="F6" s="6" t="s">
        <v>420</v>
      </c>
      <c r="G6" s="6" t="s">
        <v>437</v>
      </c>
      <c r="H6" s="6" t="s">
        <v>455</v>
      </c>
      <c r="I6" s="6" t="s">
        <v>471</v>
      </c>
      <c r="J6" s="6" t="s">
        <v>2314</v>
      </c>
      <c r="K6" s="6" t="s">
        <v>2338</v>
      </c>
      <c r="L6" s="6" t="s">
        <v>2362</v>
      </c>
      <c r="M6" s="6" t="s">
        <v>2387</v>
      </c>
      <c r="N6" s="6" t="s">
        <v>3598</v>
      </c>
      <c r="O6" s="6" t="s">
        <v>3982</v>
      </c>
    </row>
    <row r="7" spans="1:15" x14ac:dyDescent="0.2">
      <c r="A7" s="10" t="s">
        <v>64</v>
      </c>
      <c r="B7" s="10" t="s">
        <v>344</v>
      </c>
      <c r="C7" s="6" t="s">
        <v>1839</v>
      </c>
      <c r="D7" s="6" t="s">
        <v>383</v>
      </c>
      <c r="E7" s="6" t="s">
        <v>402</v>
      </c>
      <c r="F7" s="6" t="s">
        <v>421</v>
      </c>
      <c r="G7" s="6" t="s">
        <v>438</v>
      </c>
      <c r="H7" s="6" t="s">
        <v>456</v>
      </c>
      <c r="I7" s="6" t="s">
        <v>472</v>
      </c>
      <c r="J7" s="6" t="s">
        <v>2315</v>
      </c>
      <c r="K7" s="6" t="s">
        <v>2339</v>
      </c>
      <c r="L7" s="6" t="s">
        <v>2363</v>
      </c>
      <c r="M7" s="6" t="s">
        <v>2388</v>
      </c>
      <c r="N7" s="6" t="s">
        <v>3966</v>
      </c>
      <c r="O7" s="6" t="s">
        <v>3983</v>
      </c>
    </row>
    <row r="8" spans="1:15" x14ac:dyDescent="0.2">
      <c r="A8" s="10" t="s">
        <v>65</v>
      </c>
      <c r="B8" s="10" t="s">
        <v>343</v>
      </c>
      <c r="C8" s="6" t="s">
        <v>364</v>
      </c>
      <c r="D8" s="6" t="s">
        <v>384</v>
      </c>
      <c r="E8" s="6" t="s">
        <v>403</v>
      </c>
      <c r="F8" s="6" t="s">
        <v>422</v>
      </c>
      <c r="G8" s="6" t="s">
        <v>439</v>
      </c>
      <c r="H8" s="6" t="s">
        <v>457</v>
      </c>
      <c r="I8" s="6" t="s">
        <v>473</v>
      </c>
      <c r="J8" s="6" t="s">
        <v>2316</v>
      </c>
      <c r="K8" s="6" t="s">
        <v>2340</v>
      </c>
      <c r="L8" s="6" t="s">
        <v>2364</v>
      </c>
      <c r="M8" s="6" t="s">
        <v>2389</v>
      </c>
      <c r="N8" s="6" t="s">
        <v>3967</v>
      </c>
      <c r="O8" s="6" t="s">
        <v>3984</v>
      </c>
    </row>
    <row r="9" spans="1:15" x14ac:dyDescent="0.2">
      <c r="A9" s="10" t="s">
        <v>70</v>
      </c>
      <c r="B9" s="10" t="s">
        <v>345</v>
      </c>
      <c r="C9" s="6" t="s">
        <v>365</v>
      </c>
      <c r="D9" s="6" t="s">
        <v>385</v>
      </c>
      <c r="E9" s="6" t="s">
        <v>404</v>
      </c>
      <c r="F9" s="6" t="s">
        <v>345</v>
      </c>
      <c r="G9" s="6" t="s">
        <v>440</v>
      </c>
      <c r="H9" s="6" t="s">
        <v>458</v>
      </c>
      <c r="I9" s="6" t="s">
        <v>474</v>
      </c>
      <c r="J9" s="6" t="s">
        <v>2317</v>
      </c>
      <c r="K9" s="6" t="s">
        <v>2341</v>
      </c>
      <c r="L9" s="6" t="s">
        <v>2365</v>
      </c>
      <c r="M9" s="6" t="s">
        <v>2390</v>
      </c>
      <c r="N9" s="6" t="s">
        <v>3604</v>
      </c>
      <c r="O9" s="6" t="s">
        <v>2317</v>
      </c>
    </row>
    <row r="10" spans="1:15" x14ac:dyDescent="0.2">
      <c r="A10" s="10" t="s">
        <v>67</v>
      </c>
      <c r="B10" s="10" t="s">
        <v>346</v>
      </c>
      <c r="C10" s="6" t="s">
        <v>380</v>
      </c>
      <c r="D10" s="6" t="s">
        <v>386</v>
      </c>
      <c r="E10" s="6" t="s">
        <v>405</v>
      </c>
      <c r="F10" s="6" t="s">
        <v>423</v>
      </c>
      <c r="G10" s="6" t="s">
        <v>441</v>
      </c>
      <c r="H10" s="6" t="s">
        <v>459</v>
      </c>
      <c r="I10" s="6" t="s">
        <v>475</v>
      </c>
      <c r="J10" s="6" t="s">
        <v>2318</v>
      </c>
      <c r="K10" s="6" t="s">
        <v>2342</v>
      </c>
      <c r="L10" s="6" t="s">
        <v>2366</v>
      </c>
      <c r="M10" s="6" t="s">
        <v>2391</v>
      </c>
      <c r="N10" s="6" t="s">
        <v>3968</v>
      </c>
      <c r="O10" s="6" t="s">
        <v>3985</v>
      </c>
    </row>
    <row r="11" spans="1:15" x14ac:dyDescent="0.2">
      <c r="A11" s="10" t="s">
        <v>68</v>
      </c>
      <c r="B11" s="10" t="s">
        <v>347</v>
      </c>
      <c r="C11" s="6" t="s">
        <v>1838</v>
      </c>
      <c r="D11" s="6" t="s">
        <v>387</v>
      </c>
      <c r="E11" s="6" t="s">
        <v>406</v>
      </c>
      <c r="F11" s="6" t="s">
        <v>424</v>
      </c>
      <c r="G11" s="6" t="s">
        <v>442</v>
      </c>
      <c r="H11" s="6" t="s">
        <v>460</v>
      </c>
      <c r="I11" s="6" t="s">
        <v>476</v>
      </c>
      <c r="J11" s="6" t="s">
        <v>2319</v>
      </c>
      <c r="K11" s="6" t="s">
        <v>2343</v>
      </c>
      <c r="L11" s="6" t="s">
        <v>2367</v>
      </c>
      <c r="M11" s="6" t="s">
        <v>2392</v>
      </c>
      <c r="N11" s="6" t="s">
        <v>3969</v>
      </c>
      <c r="O11" s="6" t="s">
        <v>3986</v>
      </c>
    </row>
    <row r="12" spans="1:15" x14ac:dyDescent="0.2">
      <c r="A12" s="10" t="s">
        <v>72</v>
      </c>
      <c r="B12" s="10" t="s">
        <v>348</v>
      </c>
      <c r="C12" s="6" t="s">
        <v>366</v>
      </c>
      <c r="D12" s="6" t="s">
        <v>388</v>
      </c>
      <c r="E12" s="6" t="s">
        <v>407</v>
      </c>
      <c r="F12" s="6" t="s">
        <v>425</v>
      </c>
      <c r="G12" s="6" t="s">
        <v>443</v>
      </c>
      <c r="H12" s="6" t="s">
        <v>461</v>
      </c>
      <c r="I12" s="6" t="s">
        <v>477</v>
      </c>
      <c r="J12" s="6" t="s">
        <v>2320</v>
      </c>
      <c r="K12" s="6" t="s">
        <v>2344</v>
      </c>
      <c r="L12" s="6" t="s">
        <v>2368</v>
      </c>
      <c r="M12" s="6" t="s">
        <v>2393</v>
      </c>
      <c r="N12" s="6" t="s">
        <v>3607</v>
      </c>
      <c r="O12" s="6" t="s">
        <v>3987</v>
      </c>
    </row>
    <row r="13" spans="1:15" x14ac:dyDescent="0.2">
      <c r="A13" s="10" t="s">
        <v>69</v>
      </c>
      <c r="B13" s="10" t="s">
        <v>350</v>
      </c>
      <c r="C13" s="6" t="s">
        <v>367</v>
      </c>
      <c r="D13" s="6" t="s">
        <v>389</v>
      </c>
      <c r="E13" s="6" t="s">
        <v>408</v>
      </c>
      <c r="F13" s="6" t="s">
        <v>426</v>
      </c>
      <c r="G13" s="6" t="s">
        <v>444</v>
      </c>
      <c r="H13" s="6" t="s">
        <v>462</v>
      </c>
      <c r="I13" s="6" t="s">
        <v>478</v>
      </c>
      <c r="J13" s="6" t="s">
        <v>2321</v>
      </c>
      <c r="K13" s="6" t="s">
        <v>2345</v>
      </c>
      <c r="L13" s="6" t="s">
        <v>2369</v>
      </c>
      <c r="M13" s="6" t="s">
        <v>2394</v>
      </c>
      <c r="N13" s="6" t="s">
        <v>3970</v>
      </c>
      <c r="O13" s="6" t="s">
        <v>3988</v>
      </c>
    </row>
    <row r="14" spans="1:15" x14ac:dyDescent="0.2">
      <c r="A14" s="10" t="s">
        <v>71</v>
      </c>
      <c r="B14" s="10" t="s">
        <v>349</v>
      </c>
      <c r="C14" s="6" t="s">
        <v>368</v>
      </c>
      <c r="D14" s="6" t="s">
        <v>390</v>
      </c>
      <c r="E14" s="6" t="s">
        <v>409</v>
      </c>
      <c r="F14" s="6" t="s">
        <v>427</v>
      </c>
      <c r="G14" s="6" t="s">
        <v>445</v>
      </c>
      <c r="H14" s="6" t="s">
        <v>463</v>
      </c>
      <c r="I14" s="6" t="s">
        <v>479</v>
      </c>
      <c r="J14" s="6" t="s">
        <v>2322</v>
      </c>
      <c r="K14" s="6" t="s">
        <v>2346</v>
      </c>
      <c r="L14" s="6" t="s">
        <v>2370</v>
      </c>
      <c r="M14" s="6" t="s">
        <v>2395</v>
      </c>
      <c r="N14" s="6" t="s">
        <v>3971</v>
      </c>
      <c r="O14" s="6" t="s">
        <v>3989</v>
      </c>
    </row>
    <row r="15" spans="1:15" x14ac:dyDescent="0.2">
      <c r="A15" s="10" t="s">
        <v>75</v>
      </c>
      <c r="B15" s="10" t="s">
        <v>351</v>
      </c>
      <c r="C15" s="6" t="s">
        <v>369</v>
      </c>
      <c r="D15" s="6" t="s">
        <v>391</v>
      </c>
      <c r="E15" s="6" t="s">
        <v>410</v>
      </c>
      <c r="F15" s="6" t="s">
        <v>351</v>
      </c>
      <c r="G15" s="6" t="s">
        <v>446</v>
      </c>
      <c r="H15" s="6" t="s">
        <v>464</v>
      </c>
      <c r="I15" s="6" t="s">
        <v>480</v>
      </c>
      <c r="J15" s="6" t="s">
        <v>2323</v>
      </c>
      <c r="K15" s="6" t="s">
        <v>2347</v>
      </c>
      <c r="L15" s="6" t="s">
        <v>2371</v>
      </c>
      <c r="M15" s="6" t="s">
        <v>2396</v>
      </c>
      <c r="N15" s="6" t="s">
        <v>3609</v>
      </c>
      <c r="O15" s="6" t="s">
        <v>3510</v>
      </c>
    </row>
    <row r="16" spans="1:15" x14ac:dyDescent="0.2">
      <c r="A16" s="10" t="s">
        <v>73</v>
      </c>
      <c r="B16" s="10" t="s">
        <v>355</v>
      </c>
      <c r="C16" s="6" t="s">
        <v>376</v>
      </c>
      <c r="D16" s="6" t="s">
        <v>392</v>
      </c>
      <c r="E16" s="6" t="s">
        <v>411</v>
      </c>
      <c r="F16" s="6" t="s">
        <v>428</v>
      </c>
      <c r="G16" s="6" t="s">
        <v>447</v>
      </c>
      <c r="H16" s="6" t="s">
        <v>465</v>
      </c>
      <c r="I16" s="6" t="s">
        <v>481</v>
      </c>
      <c r="J16" s="6" t="s">
        <v>2324</v>
      </c>
      <c r="K16" s="6" t="s">
        <v>2348</v>
      </c>
      <c r="L16" s="6" t="s">
        <v>2372</v>
      </c>
      <c r="M16" s="6" t="s">
        <v>2397</v>
      </c>
      <c r="N16" s="6" t="s">
        <v>3972</v>
      </c>
      <c r="O16" s="6" t="s">
        <v>3990</v>
      </c>
    </row>
    <row r="17" spans="1:15" x14ac:dyDescent="0.2">
      <c r="A17" s="10" t="s">
        <v>78</v>
      </c>
      <c r="B17" s="10" t="s">
        <v>353</v>
      </c>
      <c r="C17" s="6" t="s">
        <v>370</v>
      </c>
      <c r="D17" s="6" t="s">
        <v>393</v>
      </c>
      <c r="E17" s="6" t="s">
        <v>412</v>
      </c>
      <c r="F17" s="6" t="s">
        <v>352</v>
      </c>
      <c r="G17" s="6" t="s">
        <v>448</v>
      </c>
      <c r="H17" s="6" t="s">
        <v>466</v>
      </c>
      <c r="I17" s="6" t="s">
        <v>482</v>
      </c>
      <c r="J17" s="6" t="s">
        <v>2325</v>
      </c>
      <c r="K17" s="6" t="s">
        <v>2349</v>
      </c>
      <c r="L17" s="6" t="s">
        <v>2373</v>
      </c>
      <c r="M17" s="6" t="s">
        <v>2398</v>
      </c>
      <c r="N17" s="6" t="s">
        <v>3612</v>
      </c>
      <c r="O17" s="6" t="s">
        <v>2325</v>
      </c>
    </row>
    <row r="18" spans="1:15" x14ac:dyDescent="0.2">
      <c r="A18" s="10" t="s">
        <v>74</v>
      </c>
      <c r="B18" s="10" t="s">
        <v>354</v>
      </c>
      <c r="C18" s="6" t="s">
        <v>377</v>
      </c>
      <c r="D18" s="6" t="s">
        <v>394</v>
      </c>
      <c r="E18" s="6" t="s">
        <v>413</v>
      </c>
      <c r="F18" s="6" t="s">
        <v>429</v>
      </c>
      <c r="G18" s="6" t="s">
        <v>449</v>
      </c>
      <c r="H18" s="6" t="s">
        <v>467</v>
      </c>
      <c r="I18" s="6" t="s">
        <v>483</v>
      </c>
      <c r="J18" s="6" t="s">
        <v>2326</v>
      </c>
      <c r="K18" s="6" t="s">
        <v>2350</v>
      </c>
      <c r="L18" s="6" t="s">
        <v>2374</v>
      </c>
      <c r="M18" s="6" t="s">
        <v>2399</v>
      </c>
      <c r="N18" s="6" t="s">
        <v>3973</v>
      </c>
      <c r="O18" s="6" t="s">
        <v>3991</v>
      </c>
    </row>
    <row r="19" spans="1:15" x14ac:dyDescent="0.2">
      <c r="A19" s="10" t="s">
        <v>76</v>
      </c>
      <c r="B19" s="10" t="s">
        <v>4087</v>
      </c>
      <c r="C19" s="6" t="s">
        <v>4089</v>
      </c>
      <c r="D19" s="6" t="s">
        <v>4090</v>
      </c>
      <c r="E19" s="6" t="s">
        <v>4091</v>
      </c>
      <c r="F19" s="6" t="s">
        <v>4092</v>
      </c>
      <c r="G19" s="6" t="s">
        <v>4093</v>
      </c>
      <c r="H19" s="6" t="s">
        <v>4094</v>
      </c>
      <c r="I19" s="6" t="s">
        <v>4095</v>
      </c>
      <c r="J19" s="6" t="s">
        <v>4096</v>
      </c>
      <c r="K19" s="6" t="s">
        <v>4097</v>
      </c>
      <c r="L19" s="6" t="s">
        <v>4098</v>
      </c>
      <c r="M19" s="6" t="s">
        <v>4099</v>
      </c>
      <c r="N19" s="6" t="s">
        <v>4100</v>
      </c>
      <c r="O19" s="6" t="s">
        <v>4101</v>
      </c>
    </row>
    <row r="20" spans="1:15" x14ac:dyDescent="0.2">
      <c r="A20" s="10" t="s">
        <v>356</v>
      </c>
      <c r="B20" s="10" t="s">
        <v>357</v>
      </c>
      <c r="C20" s="6" t="s">
        <v>371</v>
      </c>
      <c r="D20" s="6" t="s">
        <v>395</v>
      </c>
      <c r="E20" s="6" t="s">
        <v>414</v>
      </c>
      <c r="F20" s="6" t="s">
        <v>430</v>
      </c>
      <c r="G20" s="6" t="s">
        <v>450</v>
      </c>
      <c r="H20" s="6" t="s">
        <v>357</v>
      </c>
      <c r="I20" s="6" t="s">
        <v>484</v>
      </c>
      <c r="J20" s="6" t="s">
        <v>2327</v>
      </c>
      <c r="K20" s="6" t="s">
        <v>2351</v>
      </c>
      <c r="L20" s="6" t="s">
        <v>2375</v>
      </c>
      <c r="M20" s="6" t="s">
        <v>357</v>
      </c>
      <c r="N20" s="6" t="s">
        <v>3974</v>
      </c>
      <c r="O20" s="6" t="s">
        <v>3992</v>
      </c>
    </row>
    <row r="21" spans="1:15" x14ac:dyDescent="0.2">
      <c r="A21" s="10" t="s">
        <v>77</v>
      </c>
      <c r="B21" s="10" t="s">
        <v>360</v>
      </c>
      <c r="C21" s="6" t="s">
        <v>378</v>
      </c>
      <c r="D21" s="6" t="s">
        <v>396</v>
      </c>
      <c r="E21" s="6" t="s">
        <v>415</v>
      </c>
      <c r="F21" s="6" t="s">
        <v>431</v>
      </c>
      <c r="G21" s="6" t="s">
        <v>451</v>
      </c>
      <c r="H21" s="6" t="s">
        <v>360</v>
      </c>
      <c r="I21" s="6" t="s">
        <v>485</v>
      </c>
      <c r="J21" s="6" t="s">
        <v>2328</v>
      </c>
      <c r="K21" s="6" t="s">
        <v>2352</v>
      </c>
      <c r="L21" s="6" t="s">
        <v>2376</v>
      </c>
      <c r="M21" s="6" t="s">
        <v>2400</v>
      </c>
      <c r="N21" s="6" t="s">
        <v>3975</v>
      </c>
      <c r="O21" s="6" t="s">
        <v>3993</v>
      </c>
    </row>
    <row r="22" spans="1:15" x14ac:dyDescent="0.2">
      <c r="A22" s="10" t="s">
        <v>85</v>
      </c>
      <c r="B22" s="10" t="s">
        <v>361</v>
      </c>
      <c r="C22" s="6" t="s">
        <v>372</v>
      </c>
      <c r="D22" s="6" t="s">
        <v>397</v>
      </c>
      <c r="E22" s="6" t="s">
        <v>416</v>
      </c>
      <c r="F22" s="6" t="s">
        <v>432</v>
      </c>
      <c r="G22" s="6" t="s">
        <v>452</v>
      </c>
      <c r="H22" s="6" t="s">
        <v>468</v>
      </c>
      <c r="I22" s="6" t="s">
        <v>486</v>
      </c>
      <c r="J22" s="6" t="s">
        <v>2329</v>
      </c>
      <c r="K22" s="6" t="s">
        <v>2353</v>
      </c>
      <c r="L22" s="6" t="s">
        <v>2377</v>
      </c>
      <c r="M22" s="6" t="s">
        <v>2401</v>
      </c>
      <c r="N22" s="6" t="s">
        <v>3976</v>
      </c>
      <c r="O22" s="6" t="s">
        <v>3994</v>
      </c>
    </row>
    <row r="23" spans="1:15" x14ac:dyDescent="0.2">
      <c r="A23" s="10" t="s">
        <v>86</v>
      </c>
      <c r="B23" s="10" t="s">
        <v>359</v>
      </c>
      <c r="C23" s="6" t="s">
        <v>373</v>
      </c>
      <c r="D23" s="6" t="s">
        <v>398</v>
      </c>
      <c r="E23" s="6" t="s">
        <v>417</v>
      </c>
      <c r="F23" s="6" t="s">
        <v>433</v>
      </c>
      <c r="G23" s="6" t="s">
        <v>453</v>
      </c>
      <c r="H23" s="6" t="s">
        <v>469</v>
      </c>
      <c r="I23" s="6" t="s">
        <v>487</v>
      </c>
      <c r="J23" s="6" t="s">
        <v>2330</v>
      </c>
      <c r="K23" s="6" t="s">
        <v>2354</v>
      </c>
      <c r="L23" s="6" t="s">
        <v>2378</v>
      </c>
      <c r="M23" s="6" t="s">
        <v>2402</v>
      </c>
      <c r="N23" s="6" t="s">
        <v>3977</v>
      </c>
      <c r="O23" s="6" t="s">
        <v>3995</v>
      </c>
    </row>
    <row r="24" spans="1:15" x14ac:dyDescent="0.2">
      <c r="A24" s="10" t="s">
        <v>358</v>
      </c>
      <c r="B24" s="10" t="s">
        <v>79</v>
      </c>
      <c r="C24" s="6" t="s">
        <v>80</v>
      </c>
      <c r="D24" s="6" t="s">
        <v>81</v>
      </c>
      <c r="E24" s="6" t="s">
        <v>79</v>
      </c>
      <c r="F24" s="6" t="s">
        <v>79</v>
      </c>
      <c r="G24" s="6" t="s">
        <v>82</v>
      </c>
      <c r="H24" s="6" t="s">
        <v>83</v>
      </c>
      <c r="I24" s="6" t="s">
        <v>84</v>
      </c>
      <c r="J24" s="6" t="s">
        <v>79</v>
      </c>
      <c r="K24" s="6" t="s">
        <v>84</v>
      </c>
      <c r="L24" s="6" t="s">
        <v>2379</v>
      </c>
      <c r="M24" s="6" t="s">
        <v>2403</v>
      </c>
      <c r="N24" s="6" t="s">
        <v>3978</v>
      </c>
      <c r="O24" s="6" t="s">
        <v>3996</v>
      </c>
    </row>
    <row r="25" spans="1:15" x14ac:dyDescent="0.2">
      <c r="A25" s="10" t="s">
        <v>94</v>
      </c>
      <c r="B25" s="10" t="s">
        <v>119</v>
      </c>
      <c r="C25" s="6" t="s">
        <v>120</v>
      </c>
      <c r="D25" s="6" t="s">
        <v>121</v>
      </c>
      <c r="E25" s="6" t="s">
        <v>122</v>
      </c>
      <c r="F25" s="6" t="s">
        <v>123</v>
      </c>
      <c r="G25" s="6" t="s">
        <v>124</v>
      </c>
      <c r="H25" s="6" t="s">
        <v>125</v>
      </c>
      <c r="I25" s="6" t="s">
        <v>126</v>
      </c>
      <c r="J25" s="6" t="s">
        <v>2331</v>
      </c>
      <c r="K25" s="6" t="s">
        <v>2355</v>
      </c>
      <c r="L25" s="6" t="s">
        <v>2380</v>
      </c>
      <c r="M25" s="6" t="s">
        <v>2404</v>
      </c>
      <c r="N25" s="6" t="s">
        <v>3979</v>
      </c>
      <c r="O25" s="6" t="s">
        <v>3997</v>
      </c>
    </row>
    <row r="26" spans="1:15" x14ac:dyDescent="0.2">
      <c r="A26" s="10" t="s">
        <v>362</v>
      </c>
      <c r="B26" s="10" t="s">
        <v>87</v>
      </c>
      <c r="C26" s="6" t="s">
        <v>374</v>
      </c>
      <c r="D26" s="6" t="s">
        <v>88</v>
      </c>
      <c r="E26" s="6" t="s">
        <v>89</v>
      </c>
      <c r="F26" s="6" t="s">
        <v>90</v>
      </c>
      <c r="G26" s="6" t="s">
        <v>91</v>
      </c>
      <c r="H26" s="6" t="s">
        <v>92</v>
      </c>
      <c r="I26" s="6" t="s">
        <v>93</v>
      </c>
      <c r="J26" s="6" t="s">
        <v>2332</v>
      </c>
      <c r="K26" s="6" t="s">
        <v>2356</v>
      </c>
      <c r="L26" s="6" t="s">
        <v>2381</v>
      </c>
      <c r="M26" s="6" t="s">
        <v>2405</v>
      </c>
      <c r="N26" s="6" t="s">
        <v>3943</v>
      </c>
      <c r="O26" s="6" t="s">
        <v>3908</v>
      </c>
    </row>
    <row r="27" spans="1:15" x14ac:dyDescent="0.2">
      <c r="A27" s="10" t="s">
        <v>4088</v>
      </c>
      <c r="B27" s="10" t="s">
        <v>95</v>
      </c>
      <c r="C27" s="6" t="s">
        <v>96</v>
      </c>
      <c r="D27" s="6" t="s">
        <v>97</v>
      </c>
      <c r="E27" s="6" t="s">
        <v>98</v>
      </c>
      <c r="F27" s="6" t="s">
        <v>434</v>
      </c>
      <c r="G27" s="6" t="s">
        <v>99</v>
      </c>
      <c r="H27" s="6" t="s">
        <v>100</v>
      </c>
      <c r="I27" s="6" t="s">
        <v>101</v>
      </c>
      <c r="J27" s="6" t="s">
        <v>2333</v>
      </c>
      <c r="K27" s="6" t="s">
        <v>2357</v>
      </c>
      <c r="L27" s="6" t="s">
        <v>2382</v>
      </c>
      <c r="M27" s="6" t="s">
        <v>2406</v>
      </c>
      <c r="N27" s="6" t="s">
        <v>3620</v>
      </c>
      <c r="O27" s="6" t="s">
        <v>3520</v>
      </c>
    </row>
  </sheetData>
  <dataValidations count="1">
    <dataValidation type="list" allowBlank="1" showInputMessage="1" showErrorMessage="1" sqref="B1" xr:uid="{00000000-0002-0000-0200-000000000000}">
      <formula1>$B$1:$D$1</formula1>
    </dataValidation>
  </dataValidations>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FA292"/>
  <sheetViews>
    <sheetView topLeftCell="A265" zoomScaleNormal="100" workbookViewId="0">
      <selection activeCell="B291" sqref="B291"/>
    </sheetView>
  </sheetViews>
  <sheetFormatPr baseColWidth="10" defaultColWidth="65.6640625" defaultRowHeight="15" x14ac:dyDescent="0.2"/>
  <sheetData>
    <row r="1" spans="1:16381" ht="16" thickBot="1" x14ac:dyDescent="0.25">
      <c r="A1" s="8" t="s">
        <v>37</v>
      </c>
      <c r="B1" s="9" t="s">
        <v>38</v>
      </c>
      <c r="C1" s="9" t="s">
        <v>39</v>
      </c>
      <c r="D1" s="9" t="s">
        <v>40</v>
      </c>
      <c r="E1" s="9" t="s">
        <v>41</v>
      </c>
      <c r="F1" s="9" t="s">
        <v>42</v>
      </c>
      <c r="G1" s="9" t="s">
        <v>43</v>
      </c>
      <c r="H1" s="9" t="s">
        <v>44</v>
      </c>
      <c r="I1" s="9" t="s">
        <v>2300</v>
      </c>
      <c r="J1" s="9" t="s">
        <v>2301</v>
      </c>
      <c r="K1" s="9" t="s">
        <v>2302</v>
      </c>
      <c r="L1" s="9" t="s">
        <v>2303</v>
      </c>
      <c r="M1" s="9" t="s">
        <v>3463</v>
      </c>
      <c r="N1" s="9" t="s">
        <v>3464</v>
      </c>
    </row>
    <row r="2" spans="1:16381" x14ac:dyDescent="0.2">
      <c r="A2" s="10" t="s">
        <v>1882</v>
      </c>
      <c r="B2" s="6" t="s">
        <v>1925</v>
      </c>
      <c r="C2" s="6" t="s">
        <v>1968</v>
      </c>
      <c r="D2" s="6" t="s">
        <v>2013</v>
      </c>
      <c r="E2" s="6" t="s">
        <v>2058</v>
      </c>
      <c r="F2" s="6" t="s">
        <v>2103</v>
      </c>
      <c r="G2" s="6" t="s">
        <v>2147</v>
      </c>
      <c r="H2" s="6" t="s">
        <v>2192</v>
      </c>
      <c r="I2" s="6" t="s">
        <v>2719</v>
      </c>
      <c r="J2" s="6" t="s">
        <v>2616</v>
      </c>
      <c r="K2" s="6" t="s">
        <v>2511</v>
      </c>
      <c r="L2" s="6" t="s">
        <v>3559</v>
      </c>
      <c r="M2" s="6" t="s">
        <v>3561</v>
      </c>
      <c r="N2" s="6" t="s">
        <v>3560</v>
      </c>
    </row>
    <row r="3" spans="1:16381" x14ac:dyDescent="0.2">
      <c r="A3" s="10" t="s">
        <v>1866</v>
      </c>
      <c r="B3" s="6" t="s">
        <v>1910</v>
      </c>
      <c r="C3" s="6" t="s">
        <v>1952</v>
      </c>
      <c r="D3" s="6" t="s">
        <v>1997</v>
      </c>
      <c r="E3" s="6" t="s">
        <v>2042</v>
      </c>
      <c r="F3" s="6" t="s">
        <v>2087</v>
      </c>
      <c r="G3" s="6" t="s">
        <v>2131</v>
      </c>
      <c r="H3" s="6" t="s">
        <v>2176</v>
      </c>
      <c r="I3" s="6" t="s">
        <v>2720</v>
      </c>
      <c r="J3" s="6" t="s">
        <v>2617</v>
      </c>
      <c r="K3" s="6" t="s">
        <v>2512</v>
      </c>
      <c r="L3" s="6" t="s">
        <v>2407</v>
      </c>
      <c r="M3" s="6" t="s">
        <v>3562</v>
      </c>
      <c r="N3" s="6" t="s">
        <v>3465</v>
      </c>
    </row>
    <row r="4" spans="1:16381" x14ac:dyDescent="0.2">
      <c r="A4" s="10" t="s">
        <v>1865</v>
      </c>
      <c r="B4" s="6" t="s">
        <v>1909</v>
      </c>
      <c r="C4" s="6" t="s">
        <v>1951</v>
      </c>
      <c r="D4" s="6" t="s">
        <v>1996</v>
      </c>
      <c r="E4" s="6" t="s">
        <v>2041</v>
      </c>
      <c r="F4" s="6" t="s">
        <v>2086</v>
      </c>
      <c r="G4" s="6" t="s">
        <v>2130</v>
      </c>
      <c r="H4" s="6" t="s">
        <v>2175</v>
      </c>
      <c r="I4" s="6" t="s">
        <v>2721</v>
      </c>
      <c r="J4" s="6" t="s">
        <v>2618</v>
      </c>
      <c r="K4" s="6" t="s">
        <v>2513</v>
      </c>
      <c r="L4" s="6" t="s">
        <v>2408</v>
      </c>
      <c r="M4" s="6" t="s">
        <v>3563</v>
      </c>
      <c r="N4" s="6" t="s">
        <v>3466</v>
      </c>
    </row>
    <row r="5" spans="1:16381" x14ac:dyDescent="0.2">
      <c r="A5" s="10" t="s">
        <v>2207</v>
      </c>
      <c r="B5" s="6" t="s">
        <v>2280</v>
      </c>
      <c r="C5" s="6" t="s">
        <v>2222</v>
      </c>
      <c r="D5" s="6" t="s">
        <v>2229</v>
      </c>
      <c r="E5" s="6" t="s">
        <v>2236</v>
      </c>
      <c r="F5" s="6" t="s">
        <v>2243</v>
      </c>
      <c r="G5" s="6" t="s">
        <v>2250</v>
      </c>
      <c r="H5" s="6" t="s">
        <v>2257</v>
      </c>
      <c r="I5" s="6" t="s">
        <v>2722</v>
      </c>
      <c r="J5" s="6" t="s">
        <v>2619</v>
      </c>
      <c r="K5" s="6" t="s">
        <v>2514</v>
      </c>
      <c r="L5" s="6" t="s">
        <v>2409</v>
      </c>
      <c r="M5" s="6" t="s">
        <v>3564</v>
      </c>
      <c r="N5" s="6" t="s">
        <v>2722</v>
      </c>
    </row>
    <row r="6" spans="1:16381" x14ac:dyDescent="0.2">
      <c r="A6" s="10" t="s">
        <v>1877</v>
      </c>
      <c r="B6" s="6" t="s">
        <v>1920</v>
      </c>
      <c r="C6" s="6" t="s">
        <v>1963</v>
      </c>
      <c r="D6" s="6" t="s">
        <v>2008</v>
      </c>
      <c r="E6" s="6" t="s">
        <v>2053</v>
      </c>
      <c r="F6" s="6" t="s">
        <v>2098</v>
      </c>
      <c r="G6" s="6" t="s">
        <v>2142</v>
      </c>
      <c r="H6" s="6" t="s">
        <v>2187</v>
      </c>
      <c r="I6" s="6" t="s">
        <v>2723</v>
      </c>
      <c r="J6" s="6" t="s">
        <v>2620</v>
      </c>
      <c r="K6" s="6" t="s">
        <v>2515</v>
      </c>
      <c r="L6" s="6" t="s">
        <v>2410</v>
      </c>
      <c r="M6" s="6" t="s">
        <v>3565</v>
      </c>
      <c r="N6" s="6" t="s">
        <v>3467</v>
      </c>
    </row>
    <row r="7" spans="1:16381" x14ac:dyDescent="0.2">
      <c r="A7" s="10" t="s">
        <v>1871</v>
      </c>
      <c r="B7" s="6" t="s">
        <v>1915</v>
      </c>
      <c r="C7" s="6" t="s">
        <v>1957</v>
      </c>
      <c r="D7" s="6" t="s">
        <v>2002</v>
      </c>
      <c r="E7" s="6" t="s">
        <v>2047</v>
      </c>
      <c r="F7" s="6" t="s">
        <v>2092</v>
      </c>
      <c r="G7" s="6" t="s">
        <v>2136</v>
      </c>
      <c r="H7" s="6" t="s">
        <v>2181</v>
      </c>
      <c r="I7" s="6" t="s">
        <v>2724</v>
      </c>
      <c r="J7" s="6" t="s">
        <v>2621</v>
      </c>
      <c r="K7" s="6" t="s">
        <v>2516</v>
      </c>
      <c r="L7" s="6" t="s">
        <v>2411</v>
      </c>
      <c r="M7" s="6" t="s">
        <v>3566</v>
      </c>
      <c r="N7" s="6" t="s">
        <v>3468</v>
      </c>
    </row>
    <row r="8" spans="1:16381" x14ac:dyDescent="0.2">
      <c r="A8" s="10" t="s">
        <v>1870</v>
      </c>
      <c r="B8" s="6" t="s">
        <v>1914</v>
      </c>
      <c r="C8" s="6" t="s">
        <v>1956</v>
      </c>
      <c r="D8" s="6" t="s">
        <v>2001</v>
      </c>
      <c r="E8" s="6" t="s">
        <v>2046</v>
      </c>
      <c r="F8" s="6" t="s">
        <v>2091</v>
      </c>
      <c r="G8" s="6" t="s">
        <v>2135</v>
      </c>
      <c r="H8" s="6" t="s">
        <v>2180</v>
      </c>
      <c r="I8" s="6" t="s">
        <v>2725</v>
      </c>
      <c r="J8" s="6" t="s">
        <v>2622</v>
      </c>
      <c r="K8" s="6" t="s">
        <v>2517</v>
      </c>
      <c r="L8" s="6" t="s">
        <v>2412</v>
      </c>
      <c r="M8" s="6" t="s">
        <v>3567</v>
      </c>
      <c r="N8" s="6" t="s">
        <v>3469</v>
      </c>
    </row>
    <row r="9" spans="1:16381" x14ac:dyDescent="0.2">
      <c r="A9" s="10" t="s">
        <v>1869</v>
      </c>
      <c r="B9" s="6" t="s">
        <v>1913</v>
      </c>
      <c r="C9" s="6" t="s">
        <v>1955</v>
      </c>
      <c r="D9" s="6" t="s">
        <v>2000</v>
      </c>
      <c r="E9" s="6" t="s">
        <v>2045</v>
      </c>
      <c r="F9" s="6" t="s">
        <v>2090</v>
      </c>
      <c r="G9" s="6" t="s">
        <v>2134</v>
      </c>
      <c r="H9" s="6" t="s">
        <v>2179</v>
      </c>
      <c r="I9" s="6" t="s">
        <v>2726</v>
      </c>
      <c r="J9" s="6" t="s">
        <v>2623</v>
      </c>
      <c r="K9" s="6" t="s">
        <v>2518</v>
      </c>
      <c r="L9" s="6" t="s">
        <v>2413</v>
      </c>
      <c r="M9" s="6" t="s">
        <v>3568</v>
      </c>
      <c r="N9" s="6" t="s">
        <v>3470</v>
      </c>
    </row>
    <row r="10" spans="1:16381" x14ac:dyDescent="0.2">
      <c r="A10" s="10" t="s">
        <v>1876</v>
      </c>
      <c r="B10" s="6" t="s">
        <v>2282</v>
      </c>
      <c r="C10" s="6" t="s">
        <v>1962</v>
      </c>
      <c r="D10" s="6" t="s">
        <v>2007</v>
      </c>
      <c r="E10" s="6" t="s">
        <v>2052</v>
      </c>
      <c r="F10" s="6" t="s">
        <v>2097</v>
      </c>
      <c r="G10" s="6" t="s">
        <v>2141</v>
      </c>
      <c r="H10" s="6" t="s">
        <v>2186</v>
      </c>
      <c r="I10" s="6" t="s">
        <v>2727</v>
      </c>
      <c r="J10" s="6" t="s">
        <v>2624</v>
      </c>
      <c r="K10" s="6" t="s">
        <v>2519</v>
      </c>
      <c r="L10" s="6" t="s">
        <v>2414</v>
      </c>
      <c r="M10" s="6" t="s">
        <v>3569</v>
      </c>
      <c r="N10" s="6" t="s">
        <v>3471</v>
      </c>
    </row>
    <row r="11" spans="1:16381" x14ac:dyDescent="0.2">
      <c r="A11" s="10" t="s">
        <v>488</v>
      </c>
      <c r="B11" s="6" t="s">
        <v>634</v>
      </c>
      <c r="C11" s="6" t="s">
        <v>712</v>
      </c>
      <c r="D11" s="6" t="s">
        <v>803</v>
      </c>
      <c r="E11" s="6" t="s">
        <v>894</v>
      </c>
      <c r="F11" s="6" t="s">
        <v>982</v>
      </c>
      <c r="G11" s="6" t="s">
        <v>1072</v>
      </c>
      <c r="H11" s="6" t="s">
        <v>1152</v>
      </c>
      <c r="I11" s="6" t="s">
        <v>2728</v>
      </c>
      <c r="J11" s="6" t="s">
        <v>2625</v>
      </c>
      <c r="K11" s="6" t="s">
        <v>2520</v>
      </c>
      <c r="L11" s="6" t="s">
        <v>2415</v>
      </c>
      <c r="M11" s="6" t="s">
        <v>3570</v>
      </c>
      <c r="N11" s="6" t="s">
        <v>3472</v>
      </c>
    </row>
    <row r="12" spans="1:16381" x14ac:dyDescent="0.2">
      <c r="A12" s="10" t="s">
        <v>1881</v>
      </c>
      <c r="B12" s="6" t="s">
        <v>1924</v>
      </c>
      <c r="C12" s="6" t="s">
        <v>1967</v>
      </c>
      <c r="D12" s="6" t="s">
        <v>2012</v>
      </c>
      <c r="E12" s="6" t="s">
        <v>2057</v>
      </c>
      <c r="F12" s="6" t="s">
        <v>2102</v>
      </c>
      <c r="G12" s="6" t="s">
        <v>2146</v>
      </c>
      <c r="H12" s="6" t="s">
        <v>2191</v>
      </c>
      <c r="I12" s="6" t="s">
        <v>2729</v>
      </c>
      <c r="J12" s="6" t="s">
        <v>2626</v>
      </c>
      <c r="K12" s="6" t="s">
        <v>2521</v>
      </c>
      <c r="L12" s="6" t="s">
        <v>2416</v>
      </c>
      <c r="M12" s="6" t="s">
        <v>3571</v>
      </c>
      <c r="N12" s="6" t="s">
        <v>3473</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
      <c r="A13" s="10" t="s">
        <v>1862</v>
      </c>
      <c r="B13" s="6" t="s">
        <v>1907</v>
      </c>
      <c r="C13" s="6" t="s">
        <v>1948</v>
      </c>
      <c r="D13" s="6" t="s">
        <v>1993</v>
      </c>
      <c r="E13" s="6" t="s">
        <v>2038</v>
      </c>
      <c r="F13" s="6" t="s">
        <v>2083</v>
      </c>
      <c r="G13" s="6" t="s">
        <v>2127</v>
      </c>
      <c r="H13" s="6" t="s">
        <v>2172</v>
      </c>
      <c r="I13" s="6" t="s">
        <v>2730</v>
      </c>
      <c r="J13" s="6" t="s">
        <v>2627</v>
      </c>
      <c r="K13" s="6" t="s">
        <v>2522</v>
      </c>
      <c r="L13" s="6" t="s">
        <v>2417</v>
      </c>
      <c r="M13" s="6" t="s">
        <v>3572</v>
      </c>
      <c r="N13" s="6" t="s">
        <v>3474</v>
      </c>
    </row>
    <row r="14" spans="1:16381" x14ac:dyDescent="0.2">
      <c r="A14" s="10" t="s">
        <v>1880</v>
      </c>
      <c r="B14" s="6" t="s">
        <v>1923</v>
      </c>
      <c r="C14" s="6" t="s">
        <v>1966</v>
      </c>
      <c r="D14" s="6" t="s">
        <v>2011</v>
      </c>
      <c r="E14" s="6" t="s">
        <v>2056</v>
      </c>
      <c r="F14" s="6" t="s">
        <v>2101</v>
      </c>
      <c r="G14" s="6" t="s">
        <v>2145</v>
      </c>
      <c r="H14" s="6" t="s">
        <v>2190</v>
      </c>
      <c r="I14" s="6" t="s">
        <v>2731</v>
      </c>
      <c r="J14" s="6" t="s">
        <v>2628</v>
      </c>
      <c r="K14" s="6" t="s">
        <v>2523</v>
      </c>
      <c r="L14" s="6" t="s">
        <v>2418</v>
      </c>
      <c r="M14" s="6" t="s">
        <v>3573</v>
      </c>
      <c r="N14" s="6" t="s">
        <v>3475</v>
      </c>
    </row>
    <row r="15" spans="1:16381" x14ac:dyDescent="0.2">
      <c r="A15" s="10" t="s">
        <v>1874</v>
      </c>
      <c r="B15" s="6" t="s">
        <v>1918</v>
      </c>
      <c r="C15" s="6" t="s">
        <v>1960</v>
      </c>
      <c r="D15" s="6" t="s">
        <v>2005</v>
      </c>
      <c r="E15" s="6" t="s">
        <v>2050</v>
      </c>
      <c r="F15" s="6" t="s">
        <v>2095</v>
      </c>
      <c r="G15" s="6" t="s">
        <v>2139</v>
      </c>
      <c r="H15" s="6" t="s">
        <v>2184</v>
      </c>
      <c r="I15" s="6" t="s">
        <v>2732</v>
      </c>
      <c r="J15" s="6" t="s">
        <v>2629</v>
      </c>
      <c r="K15" s="6" t="s">
        <v>2524</v>
      </c>
      <c r="L15" s="6" t="s">
        <v>2419</v>
      </c>
      <c r="M15" s="6" t="s">
        <v>3574</v>
      </c>
      <c r="N15" s="6" t="s">
        <v>3476</v>
      </c>
    </row>
    <row r="16" spans="1:16381" x14ac:dyDescent="0.2">
      <c r="A16" s="10" t="s">
        <v>1860</v>
      </c>
      <c r="B16" s="6" t="s">
        <v>1905</v>
      </c>
      <c r="C16" s="6" t="s">
        <v>1946</v>
      </c>
      <c r="D16" s="6" t="s">
        <v>1991</v>
      </c>
      <c r="E16" s="6" t="s">
        <v>2036</v>
      </c>
      <c r="F16" s="6" t="s">
        <v>2081</v>
      </c>
      <c r="G16" s="6" t="s">
        <v>2125</v>
      </c>
      <c r="H16" s="6" t="s">
        <v>2170</v>
      </c>
      <c r="I16" s="6" t="s">
        <v>2733</v>
      </c>
      <c r="J16" s="6" t="s">
        <v>2630</v>
      </c>
      <c r="K16" s="6" t="s">
        <v>2525</v>
      </c>
      <c r="L16" s="6" t="s">
        <v>2420</v>
      </c>
      <c r="M16" s="6" t="s">
        <v>3575</v>
      </c>
      <c r="N16" s="6" t="s">
        <v>3477</v>
      </c>
    </row>
    <row r="17" spans="1:14" x14ac:dyDescent="0.2">
      <c r="A17" s="10" t="s">
        <v>1857</v>
      </c>
      <c r="B17" s="6" t="s">
        <v>1902</v>
      </c>
      <c r="C17" s="6" t="s">
        <v>1943</v>
      </c>
      <c r="D17" s="6" t="s">
        <v>1988</v>
      </c>
      <c r="E17" s="6" t="s">
        <v>2033</v>
      </c>
      <c r="F17" s="6" t="s">
        <v>2078</v>
      </c>
      <c r="G17" s="6" t="s">
        <v>2122</v>
      </c>
      <c r="H17" s="6" t="s">
        <v>2167</v>
      </c>
      <c r="I17" s="6" t="s">
        <v>2734</v>
      </c>
      <c r="J17" s="6" t="s">
        <v>2631</v>
      </c>
      <c r="K17" s="6" t="s">
        <v>2526</v>
      </c>
      <c r="L17" s="6" t="s">
        <v>2421</v>
      </c>
      <c r="M17" s="6" t="s">
        <v>3576</v>
      </c>
      <c r="N17" s="6" t="s">
        <v>3478</v>
      </c>
    </row>
    <row r="18" spans="1:14" x14ac:dyDescent="0.2">
      <c r="A18" s="10" t="s">
        <v>1878</v>
      </c>
      <c r="B18" s="6" t="s">
        <v>1921</v>
      </c>
      <c r="C18" s="6" t="s">
        <v>1964</v>
      </c>
      <c r="D18" s="6" t="s">
        <v>2009</v>
      </c>
      <c r="E18" s="6" t="s">
        <v>2054</v>
      </c>
      <c r="F18" s="6" t="s">
        <v>2099</v>
      </c>
      <c r="G18" s="6" t="s">
        <v>2143</v>
      </c>
      <c r="H18" s="6" t="s">
        <v>2188</v>
      </c>
      <c r="I18" s="6" t="s">
        <v>2735</v>
      </c>
      <c r="J18" s="6" t="s">
        <v>2632</v>
      </c>
      <c r="K18" s="6" t="s">
        <v>2527</v>
      </c>
      <c r="L18" s="6" t="s">
        <v>2422</v>
      </c>
      <c r="M18" s="6" t="s">
        <v>3577</v>
      </c>
      <c r="N18" s="6" t="s">
        <v>3479</v>
      </c>
    </row>
    <row r="19" spans="1:14" x14ac:dyDescent="0.2">
      <c r="A19" s="10" t="s">
        <v>288</v>
      </c>
      <c r="B19" s="6" t="s">
        <v>635</v>
      </c>
      <c r="C19" s="6" t="s">
        <v>289</v>
      </c>
      <c r="D19" s="6" t="s">
        <v>290</v>
      </c>
      <c r="E19" s="6" t="s">
        <v>291</v>
      </c>
      <c r="F19" s="6" t="s">
        <v>292</v>
      </c>
      <c r="G19" s="6" t="s">
        <v>293</v>
      </c>
      <c r="H19" s="6" t="s">
        <v>294</v>
      </c>
      <c r="I19" s="6" t="s">
        <v>2736</v>
      </c>
      <c r="J19" s="6" t="s">
        <v>2633</v>
      </c>
      <c r="K19" s="6" t="s">
        <v>2528</v>
      </c>
      <c r="L19" s="6" t="s">
        <v>2423</v>
      </c>
      <c r="M19" s="6" t="s">
        <v>3578</v>
      </c>
      <c r="N19" s="6" t="s">
        <v>3480</v>
      </c>
    </row>
    <row r="20" spans="1:14" x14ac:dyDescent="0.2">
      <c r="A20" s="10" t="s">
        <v>2265</v>
      </c>
      <c r="B20" s="6" t="s">
        <v>2279</v>
      </c>
      <c r="C20" s="6" t="s">
        <v>2277</v>
      </c>
      <c r="D20" s="6" t="s">
        <v>2275</v>
      </c>
      <c r="E20" s="6" t="s">
        <v>2273</v>
      </c>
      <c r="F20" s="6" t="s">
        <v>2271</v>
      </c>
      <c r="G20" s="6" t="s">
        <v>2269</v>
      </c>
      <c r="H20" s="6" t="s">
        <v>2267</v>
      </c>
      <c r="I20" s="6" t="s">
        <v>2737</v>
      </c>
      <c r="J20" s="6" t="s">
        <v>2634</v>
      </c>
      <c r="K20" s="6" t="s">
        <v>2529</v>
      </c>
      <c r="L20" s="6" t="s">
        <v>2424</v>
      </c>
      <c r="M20" s="6" t="s">
        <v>3579</v>
      </c>
      <c r="N20" s="6" t="s">
        <v>3481</v>
      </c>
    </row>
    <row r="21" spans="1:14" x14ac:dyDescent="0.2">
      <c r="A21" s="10" t="s">
        <v>1867</v>
      </c>
      <c r="B21" s="6" t="s">
        <v>1911</v>
      </c>
      <c r="C21" s="6" t="s">
        <v>1953</v>
      </c>
      <c r="D21" s="6" t="s">
        <v>1998</v>
      </c>
      <c r="E21" s="6" t="s">
        <v>2043</v>
      </c>
      <c r="F21" s="6" t="s">
        <v>2088</v>
      </c>
      <c r="G21" s="6" t="s">
        <v>2132</v>
      </c>
      <c r="H21" s="6" t="s">
        <v>2177</v>
      </c>
      <c r="I21" s="6" t="s">
        <v>2738</v>
      </c>
      <c r="J21" s="6" t="s">
        <v>2635</v>
      </c>
      <c r="K21" s="6" t="s">
        <v>2530</v>
      </c>
      <c r="L21" s="6" t="s">
        <v>2425</v>
      </c>
      <c r="M21" s="6" t="s">
        <v>3580</v>
      </c>
      <c r="N21" s="6" t="s">
        <v>3482</v>
      </c>
    </row>
    <row r="22" spans="1:14" x14ac:dyDescent="0.2">
      <c r="A22" s="10" t="s">
        <v>1868</v>
      </c>
      <c r="B22" s="6" t="s">
        <v>1912</v>
      </c>
      <c r="C22" s="6" t="s">
        <v>1954</v>
      </c>
      <c r="D22" s="6" t="s">
        <v>1999</v>
      </c>
      <c r="E22" s="6" t="s">
        <v>2044</v>
      </c>
      <c r="F22" s="6" t="s">
        <v>2089</v>
      </c>
      <c r="G22" s="6" t="s">
        <v>2133</v>
      </c>
      <c r="H22" s="6" t="s">
        <v>2178</v>
      </c>
      <c r="I22" s="6" t="s">
        <v>2739</v>
      </c>
      <c r="J22" s="6" t="s">
        <v>2636</v>
      </c>
      <c r="K22" s="6" t="s">
        <v>2531</v>
      </c>
      <c r="L22" s="6" t="s">
        <v>2426</v>
      </c>
      <c r="M22" s="6" t="s">
        <v>3581</v>
      </c>
      <c r="N22" s="6" t="s">
        <v>3483</v>
      </c>
    </row>
    <row r="23" spans="1:14" x14ac:dyDescent="0.2">
      <c r="A23" s="10" t="s">
        <v>2215</v>
      </c>
      <c r="B23" s="6" t="s">
        <v>2221</v>
      </c>
      <c r="C23" s="6" t="s">
        <v>2228</v>
      </c>
      <c r="D23" s="6" t="s">
        <v>2235</v>
      </c>
      <c r="E23" s="6" t="s">
        <v>2242</v>
      </c>
      <c r="F23" s="6" t="s">
        <v>2249</v>
      </c>
      <c r="G23" s="6" t="s">
        <v>2256</v>
      </c>
      <c r="H23" s="6" t="s">
        <v>2263</v>
      </c>
      <c r="I23" s="6" t="s">
        <v>2740</v>
      </c>
      <c r="J23" s="6" t="s">
        <v>2637</v>
      </c>
      <c r="K23" s="6" t="s">
        <v>2532</v>
      </c>
      <c r="L23" s="6" t="s">
        <v>2427</v>
      </c>
      <c r="M23" s="6" t="s">
        <v>3582</v>
      </c>
      <c r="N23" s="6" t="s">
        <v>3484</v>
      </c>
    </row>
    <row r="24" spans="1:14" x14ac:dyDescent="0.2">
      <c r="A24" s="10" t="s">
        <v>1872</v>
      </c>
      <c r="B24" s="6" t="s">
        <v>1916</v>
      </c>
      <c r="C24" s="6" t="s">
        <v>1958</v>
      </c>
      <c r="D24" s="6" t="s">
        <v>2003</v>
      </c>
      <c r="E24" s="6" t="s">
        <v>2048</v>
      </c>
      <c r="F24" s="6" t="s">
        <v>2093</v>
      </c>
      <c r="G24" s="6" t="s">
        <v>2137</v>
      </c>
      <c r="H24" s="6" t="s">
        <v>2182</v>
      </c>
      <c r="I24" s="6" t="s">
        <v>2741</v>
      </c>
      <c r="J24" s="6" t="s">
        <v>2638</v>
      </c>
      <c r="K24" s="6" t="s">
        <v>2533</v>
      </c>
      <c r="L24" s="6" t="s">
        <v>2428</v>
      </c>
      <c r="M24" s="6" t="s">
        <v>3583</v>
      </c>
      <c r="N24" s="6" t="s">
        <v>3485</v>
      </c>
    </row>
    <row r="25" spans="1:14" x14ac:dyDescent="0.2">
      <c r="A25" s="10" t="s">
        <v>2285</v>
      </c>
      <c r="B25" s="6" t="s">
        <v>2287</v>
      </c>
      <c r="C25" s="6" t="s">
        <v>2289</v>
      </c>
      <c r="D25" s="6" t="s">
        <v>2291</v>
      </c>
      <c r="E25" s="6" t="s">
        <v>2293</v>
      </c>
      <c r="F25" s="6" t="s">
        <v>2295</v>
      </c>
      <c r="G25" s="6" t="s">
        <v>2291</v>
      </c>
      <c r="H25" s="6" t="s">
        <v>2298</v>
      </c>
      <c r="I25" s="6" t="s">
        <v>2742</v>
      </c>
      <c r="J25" s="6" t="s">
        <v>2639</v>
      </c>
      <c r="K25" s="6" t="s">
        <v>2534</v>
      </c>
      <c r="L25" s="6" t="s">
        <v>2429</v>
      </c>
      <c r="M25" s="6" t="s">
        <v>3584</v>
      </c>
      <c r="N25" s="6" t="s">
        <v>3486</v>
      </c>
    </row>
    <row r="26" spans="1:14" x14ac:dyDescent="0.2">
      <c r="A26" s="10" t="s">
        <v>489</v>
      </c>
      <c r="B26" s="6" t="s">
        <v>636</v>
      </c>
      <c r="C26" s="6" t="s">
        <v>713</v>
      </c>
      <c r="D26" s="6" t="s">
        <v>804</v>
      </c>
      <c r="E26" s="6" t="s">
        <v>895</v>
      </c>
      <c r="F26" s="6" t="s">
        <v>983</v>
      </c>
      <c r="G26" s="6" t="s">
        <v>1073</v>
      </c>
      <c r="H26" s="6" t="s">
        <v>1153</v>
      </c>
      <c r="I26" s="6" t="s">
        <v>2743</v>
      </c>
      <c r="J26" s="6" t="s">
        <v>2640</v>
      </c>
      <c r="K26" s="6" t="s">
        <v>2535</v>
      </c>
      <c r="L26" s="6" t="s">
        <v>2430</v>
      </c>
      <c r="M26" s="6" t="s">
        <v>3585</v>
      </c>
      <c r="N26" s="6" t="s">
        <v>3487</v>
      </c>
    </row>
    <row r="27" spans="1:14" x14ac:dyDescent="0.2">
      <c r="A27" s="10" t="s">
        <v>233</v>
      </c>
      <c r="B27" s="6" t="s">
        <v>637</v>
      </c>
      <c r="C27" s="6" t="s">
        <v>714</v>
      </c>
      <c r="D27" s="6" t="s">
        <v>234</v>
      </c>
      <c r="E27" s="6" t="s">
        <v>235</v>
      </c>
      <c r="F27" s="6" t="s">
        <v>236</v>
      </c>
      <c r="G27" s="6" t="s">
        <v>237</v>
      </c>
      <c r="H27" s="6" t="s">
        <v>238</v>
      </c>
      <c r="I27" s="6" t="s">
        <v>2744</v>
      </c>
      <c r="J27" s="6" t="s">
        <v>2641</v>
      </c>
      <c r="K27" s="6" t="s">
        <v>2536</v>
      </c>
      <c r="L27" s="6" t="s">
        <v>2431</v>
      </c>
      <c r="M27" s="6" t="s">
        <v>3586</v>
      </c>
      <c r="N27" s="6" t="s">
        <v>3488</v>
      </c>
    </row>
    <row r="28" spans="1:14" x14ac:dyDescent="0.2">
      <c r="A28" s="10" t="s">
        <v>227</v>
      </c>
      <c r="B28" s="6" t="s">
        <v>638</v>
      </c>
      <c r="C28" s="6" t="s">
        <v>715</v>
      </c>
      <c r="D28" s="6" t="s">
        <v>228</v>
      </c>
      <c r="E28" s="6" t="s">
        <v>229</v>
      </c>
      <c r="F28" s="6" t="s">
        <v>230</v>
      </c>
      <c r="G28" s="6" t="s">
        <v>231</v>
      </c>
      <c r="H28" s="6" t="s">
        <v>232</v>
      </c>
      <c r="I28" s="6" t="s">
        <v>2745</v>
      </c>
      <c r="J28" s="6" t="s">
        <v>2642</v>
      </c>
      <c r="K28" s="6" t="s">
        <v>2537</v>
      </c>
      <c r="L28" s="6" t="s">
        <v>2432</v>
      </c>
      <c r="M28" s="6" t="s">
        <v>3587</v>
      </c>
      <c r="N28" s="6" t="s">
        <v>3489</v>
      </c>
    </row>
    <row r="29" spans="1:14" x14ac:dyDescent="0.2">
      <c r="A29" s="10" t="s">
        <v>490</v>
      </c>
      <c r="B29" s="6" t="s">
        <v>639</v>
      </c>
      <c r="C29" s="6" t="s">
        <v>716</v>
      </c>
      <c r="D29" s="6" t="s">
        <v>805</v>
      </c>
      <c r="E29" s="6" t="s">
        <v>896</v>
      </c>
      <c r="F29" s="6" t="s">
        <v>984</v>
      </c>
      <c r="G29" s="6" t="s">
        <v>1074</v>
      </c>
      <c r="H29" s="6" t="s">
        <v>1154</v>
      </c>
      <c r="I29" s="6" t="s">
        <v>2746</v>
      </c>
      <c r="J29" s="6" t="s">
        <v>2643</v>
      </c>
      <c r="K29" s="6" t="s">
        <v>2538</v>
      </c>
      <c r="L29" s="6" t="s">
        <v>2433</v>
      </c>
      <c r="M29" s="6" t="s">
        <v>3588</v>
      </c>
      <c r="N29" s="6" t="s">
        <v>3490</v>
      </c>
    </row>
    <row r="30" spans="1:14" x14ac:dyDescent="0.2">
      <c r="A30" s="10" t="s">
        <v>1837</v>
      </c>
      <c r="B30" s="6" t="s">
        <v>1891</v>
      </c>
      <c r="C30" s="6" t="s">
        <v>1932</v>
      </c>
      <c r="D30" s="6" t="s">
        <v>1977</v>
      </c>
      <c r="E30" s="6" t="s">
        <v>2022</v>
      </c>
      <c r="F30" s="6" t="s">
        <v>2067</v>
      </c>
      <c r="G30" s="6" t="s">
        <v>2112</v>
      </c>
      <c r="H30" s="6" t="s">
        <v>2156</v>
      </c>
      <c r="I30" s="6" t="s">
        <v>2747</v>
      </c>
      <c r="J30" s="6" t="s">
        <v>2644</v>
      </c>
      <c r="K30" s="6" t="s">
        <v>2539</v>
      </c>
      <c r="L30" s="6" t="s">
        <v>2434</v>
      </c>
      <c r="M30" s="6" t="s">
        <v>3589</v>
      </c>
      <c r="N30" s="6" t="s">
        <v>3491</v>
      </c>
    </row>
    <row r="31" spans="1:14" x14ac:dyDescent="0.2">
      <c r="A31" s="10" t="s">
        <v>239</v>
      </c>
      <c r="B31" s="6" t="s">
        <v>640</v>
      </c>
      <c r="C31" s="6" t="s">
        <v>717</v>
      </c>
      <c r="D31" s="6" t="s">
        <v>240</v>
      </c>
      <c r="E31" s="6" t="s">
        <v>241</v>
      </c>
      <c r="F31" s="6" t="s">
        <v>242</v>
      </c>
      <c r="G31" s="6" t="s">
        <v>243</v>
      </c>
      <c r="H31" s="6" t="s">
        <v>244</v>
      </c>
      <c r="I31" s="6" t="s">
        <v>2748</v>
      </c>
      <c r="J31" s="6" t="s">
        <v>2645</v>
      </c>
      <c r="K31" s="6" t="s">
        <v>2540</v>
      </c>
      <c r="L31" s="6" t="s">
        <v>2435</v>
      </c>
      <c r="M31" s="6" t="s">
        <v>3590</v>
      </c>
      <c r="N31" s="6" t="s">
        <v>3492</v>
      </c>
    </row>
    <row r="32" spans="1:14" x14ac:dyDescent="0.2">
      <c r="A32" s="10" t="s">
        <v>1886</v>
      </c>
      <c r="B32" s="6" t="s">
        <v>3461</v>
      </c>
      <c r="C32" s="6" t="s">
        <v>1973</v>
      </c>
      <c r="D32" s="6" t="s">
        <v>2018</v>
      </c>
      <c r="E32" s="6" t="s">
        <v>2063</v>
      </c>
      <c r="F32" s="6" t="s">
        <v>2108</v>
      </c>
      <c r="G32" s="6" t="s">
        <v>2152</v>
      </c>
      <c r="H32" s="6" t="s">
        <v>2197</v>
      </c>
      <c r="I32" s="6" t="s">
        <v>2749</v>
      </c>
      <c r="J32" s="6" t="s">
        <v>2646</v>
      </c>
      <c r="K32" s="6" t="s">
        <v>2541</v>
      </c>
      <c r="L32" s="6" t="s">
        <v>2436</v>
      </c>
      <c r="M32" s="6" t="s">
        <v>3591</v>
      </c>
      <c r="N32" s="6" t="s">
        <v>3493</v>
      </c>
    </row>
    <row r="33" spans="1:14" x14ac:dyDescent="0.2">
      <c r="A33" s="10" t="s">
        <v>491</v>
      </c>
      <c r="B33" s="6" t="s">
        <v>2283</v>
      </c>
      <c r="C33" s="6" t="s">
        <v>718</v>
      </c>
      <c r="D33" s="6" t="s">
        <v>806</v>
      </c>
      <c r="E33" s="6" t="s">
        <v>897</v>
      </c>
      <c r="F33" s="6" t="s">
        <v>985</v>
      </c>
      <c r="G33" s="6" t="s">
        <v>1075</v>
      </c>
      <c r="H33" s="6" t="s">
        <v>1155</v>
      </c>
      <c r="I33" s="6" t="s">
        <v>2750</v>
      </c>
      <c r="J33" s="6" t="s">
        <v>2647</v>
      </c>
      <c r="K33" s="6" t="s">
        <v>2542</v>
      </c>
      <c r="L33" s="6" t="s">
        <v>2437</v>
      </c>
      <c r="M33" s="6" t="s">
        <v>3592</v>
      </c>
      <c r="N33" s="6" t="s">
        <v>3494</v>
      </c>
    </row>
    <row r="34" spans="1:14" x14ac:dyDescent="0.2">
      <c r="A34" s="10" t="s">
        <v>492</v>
      </c>
      <c r="B34" s="6" t="s">
        <v>641</v>
      </c>
      <c r="C34" s="6" t="s">
        <v>719</v>
      </c>
      <c r="D34" s="6" t="s">
        <v>807</v>
      </c>
      <c r="E34" s="6" t="s">
        <v>898</v>
      </c>
      <c r="F34" s="6" t="s">
        <v>986</v>
      </c>
      <c r="G34" s="6" t="s">
        <v>1076</v>
      </c>
      <c r="H34" s="6" t="s">
        <v>1156</v>
      </c>
      <c r="I34" s="6" t="s">
        <v>2751</v>
      </c>
      <c r="J34" s="6" t="s">
        <v>2648</v>
      </c>
      <c r="K34" s="6" t="s">
        <v>2543</v>
      </c>
      <c r="L34" s="6" t="s">
        <v>2438</v>
      </c>
      <c r="M34" s="6" t="s">
        <v>3593</v>
      </c>
      <c r="N34" s="6" t="s">
        <v>3495</v>
      </c>
    </row>
    <row r="35" spans="1:14" x14ac:dyDescent="0.2">
      <c r="A35" s="10" t="s">
        <v>2214</v>
      </c>
      <c r="B35" s="6" t="s">
        <v>2220</v>
      </c>
      <c r="C35" s="6" t="s">
        <v>2227</v>
      </c>
      <c r="D35" s="6" t="s">
        <v>2234</v>
      </c>
      <c r="E35" s="6" t="s">
        <v>2241</v>
      </c>
      <c r="F35" s="6" t="s">
        <v>2248</v>
      </c>
      <c r="G35" s="6" t="s">
        <v>2255</v>
      </c>
      <c r="H35" s="6" t="s">
        <v>2262</v>
      </c>
      <c r="I35" s="6" t="s">
        <v>2752</v>
      </c>
      <c r="J35" s="6" t="s">
        <v>2649</v>
      </c>
      <c r="K35" s="6" t="s">
        <v>2544</v>
      </c>
      <c r="L35" s="6" t="s">
        <v>2439</v>
      </c>
      <c r="M35" s="6" t="s">
        <v>3594</v>
      </c>
      <c r="N35" s="6" t="s">
        <v>3496</v>
      </c>
    </row>
    <row r="36" spans="1:14" x14ac:dyDescent="0.2">
      <c r="A36" s="10" t="s">
        <v>295</v>
      </c>
      <c r="B36" s="6" t="s">
        <v>296</v>
      </c>
      <c r="C36" s="6" t="s">
        <v>297</v>
      </c>
      <c r="D36" s="6" t="s">
        <v>298</v>
      </c>
      <c r="E36" s="6" t="s">
        <v>899</v>
      </c>
      <c r="F36" s="6" t="s">
        <v>299</v>
      </c>
      <c r="G36" s="6" t="s">
        <v>300</v>
      </c>
      <c r="H36" s="6" t="s">
        <v>301</v>
      </c>
      <c r="I36" s="6" t="s">
        <v>2753</v>
      </c>
      <c r="J36" s="6" t="s">
        <v>2650</v>
      </c>
      <c r="K36" s="6" t="s">
        <v>2545</v>
      </c>
      <c r="L36" s="6" t="s">
        <v>2440</v>
      </c>
      <c r="M36" s="6" t="s">
        <v>3595</v>
      </c>
      <c r="N36" s="6" t="s">
        <v>3497</v>
      </c>
    </row>
    <row r="37" spans="1:14" x14ac:dyDescent="0.2">
      <c r="A37" s="10" t="s">
        <v>493</v>
      </c>
      <c r="B37" s="6" t="s">
        <v>642</v>
      </c>
      <c r="C37" s="6" t="s">
        <v>720</v>
      </c>
      <c r="D37" s="6" t="s">
        <v>808</v>
      </c>
      <c r="E37" s="6" t="s">
        <v>900</v>
      </c>
      <c r="F37" s="6" t="s">
        <v>987</v>
      </c>
      <c r="G37" s="6" t="s">
        <v>1077</v>
      </c>
      <c r="H37" s="6" t="s">
        <v>1157</v>
      </c>
      <c r="I37" s="6" t="s">
        <v>2754</v>
      </c>
      <c r="J37" s="6" t="s">
        <v>2651</v>
      </c>
      <c r="K37" s="6" t="s">
        <v>2546</v>
      </c>
      <c r="L37" s="6" t="s">
        <v>2441</v>
      </c>
      <c r="M37" s="6" t="s">
        <v>3596</v>
      </c>
      <c r="N37" s="6" t="s">
        <v>3498</v>
      </c>
    </row>
    <row r="38" spans="1:14" x14ac:dyDescent="0.2">
      <c r="A38" s="10" t="s">
        <v>102</v>
      </c>
      <c r="B38" s="6" t="s">
        <v>643</v>
      </c>
      <c r="C38" s="6" t="s">
        <v>102</v>
      </c>
      <c r="D38" s="6" t="s">
        <v>103</v>
      </c>
      <c r="E38" s="6" t="s">
        <v>102</v>
      </c>
      <c r="F38" s="6" t="s">
        <v>104</v>
      </c>
      <c r="G38" s="6" t="s">
        <v>1078</v>
      </c>
      <c r="H38" s="6" t="s">
        <v>105</v>
      </c>
      <c r="I38" s="6" t="s">
        <v>2755</v>
      </c>
      <c r="J38" s="6" t="s">
        <v>2652</v>
      </c>
      <c r="K38" s="6" t="s">
        <v>2547</v>
      </c>
      <c r="L38" s="6" t="s">
        <v>2442</v>
      </c>
      <c r="M38" s="6" t="s">
        <v>3597</v>
      </c>
      <c r="N38" s="6" t="s">
        <v>3499</v>
      </c>
    </row>
    <row r="39" spans="1:14" x14ac:dyDescent="0.2">
      <c r="A39" s="10" t="s">
        <v>494</v>
      </c>
      <c r="B39" s="6" t="s">
        <v>644</v>
      </c>
      <c r="C39" s="6" t="s">
        <v>721</v>
      </c>
      <c r="D39" s="6" t="s">
        <v>809</v>
      </c>
      <c r="E39" s="6" t="s">
        <v>901</v>
      </c>
      <c r="F39" s="6" t="s">
        <v>988</v>
      </c>
      <c r="G39" s="6" t="s">
        <v>1079</v>
      </c>
      <c r="H39" s="6" t="s">
        <v>1158</v>
      </c>
      <c r="I39" s="6" t="s">
        <v>2756</v>
      </c>
      <c r="J39" s="6" t="s">
        <v>2653</v>
      </c>
      <c r="K39" s="6" t="s">
        <v>2548</v>
      </c>
      <c r="L39" s="6" t="s">
        <v>2443</v>
      </c>
      <c r="M39" s="6" t="s">
        <v>3598</v>
      </c>
      <c r="N39" s="6" t="s">
        <v>3500</v>
      </c>
    </row>
    <row r="40" spans="1:14" x14ac:dyDescent="0.2">
      <c r="A40" s="10" t="s">
        <v>495</v>
      </c>
      <c r="B40" s="6" t="s">
        <v>1825</v>
      </c>
      <c r="C40" s="6" t="s">
        <v>722</v>
      </c>
      <c r="D40" s="6" t="s">
        <v>810</v>
      </c>
      <c r="E40" s="6" t="s">
        <v>902</v>
      </c>
      <c r="F40" s="6" t="s">
        <v>989</v>
      </c>
      <c r="G40" s="6" t="s">
        <v>1080</v>
      </c>
      <c r="H40" s="6" t="s">
        <v>1159</v>
      </c>
      <c r="I40" s="6" t="s">
        <v>2757</v>
      </c>
      <c r="J40" s="6" t="s">
        <v>2654</v>
      </c>
      <c r="K40" s="6" t="s">
        <v>2549</v>
      </c>
      <c r="L40" s="6" t="s">
        <v>2444</v>
      </c>
      <c r="M40" s="6" t="s">
        <v>3599</v>
      </c>
      <c r="N40" s="6" t="s">
        <v>3501</v>
      </c>
    </row>
    <row r="41" spans="1:14" x14ac:dyDescent="0.2">
      <c r="A41" s="10" t="s">
        <v>496</v>
      </c>
      <c r="B41" s="6" t="s">
        <v>1821</v>
      </c>
      <c r="C41" s="6" t="s">
        <v>723</v>
      </c>
      <c r="D41" s="6" t="s">
        <v>811</v>
      </c>
      <c r="E41" s="6" t="s">
        <v>903</v>
      </c>
      <c r="F41" s="6" t="s">
        <v>990</v>
      </c>
      <c r="G41" s="6" t="s">
        <v>1081</v>
      </c>
      <c r="H41" s="6" t="s">
        <v>1160</v>
      </c>
      <c r="I41" s="6" t="s">
        <v>2758</v>
      </c>
      <c r="J41" s="6" t="s">
        <v>2655</v>
      </c>
      <c r="K41" s="6" t="s">
        <v>2550</v>
      </c>
      <c r="L41" s="6" t="s">
        <v>2445</v>
      </c>
      <c r="M41" s="6" t="s">
        <v>3600</v>
      </c>
      <c r="N41" s="6" t="s">
        <v>3502</v>
      </c>
    </row>
    <row r="42" spans="1:14" x14ac:dyDescent="0.2">
      <c r="A42" s="10" t="s">
        <v>4</v>
      </c>
      <c r="B42" s="6" t="s">
        <v>363</v>
      </c>
      <c r="C42" s="6" t="s">
        <v>381</v>
      </c>
      <c r="D42" s="6" t="s">
        <v>812</v>
      </c>
      <c r="E42" s="6" t="s">
        <v>904</v>
      </c>
      <c r="F42" s="6" t="s">
        <v>991</v>
      </c>
      <c r="G42" s="6" t="s">
        <v>1082</v>
      </c>
      <c r="H42" s="6" t="s">
        <v>470</v>
      </c>
      <c r="I42" s="6" t="s">
        <v>2313</v>
      </c>
      <c r="J42" s="6" t="s">
        <v>2337</v>
      </c>
      <c r="K42" s="6" t="s">
        <v>2551</v>
      </c>
      <c r="L42" s="6" t="s">
        <v>2446</v>
      </c>
      <c r="M42" s="6" t="s">
        <v>3601</v>
      </c>
      <c r="N42" s="6" t="s">
        <v>2313</v>
      </c>
    </row>
    <row r="43" spans="1:14" x14ac:dyDescent="0.2">
      <c r="A43" s="10" t="s">
        <v>497</v>
      </c>
      <c r="B43" s="6" t="s">
        <v>645</v>
      </c>
      <c r="C43" s="6" t="s">
        <v>724</v>
      </c>
      <c r="D43" s="6" t="s">
        <v>813</v>
      </c>
      <c r="E43" s="6" t="s">
        <v>905</v>
      </c>
      <c r="F43" s="6" t="s">
        <v>992</v>
      </c>
      <c r="G43" s="6" t="s">
        <v>1083</v>
      </c>
      <c r="H43" s="6" t="s">
        <v>1161</v>
      </c>
      <c r="I43" s="6" t="s">
        <v>2759</v>
      </c>
      <c r="J43" s="6" t="s">
        <v>2656</v>
      </c>
      <c r="K43" s="6" t="s">
        <v>2552</v>
      </c>
      <c r="L43" s="6" t="s">
        <v>2447</v>
      </c>
      <c r="M43" s="6" t="s">
        <v>3602</v>
      </c>
      <c r="N43" s="6" t="s">
        <v>3503</v>
      </c>
    </row>
    <row r="44" spans="1:14" x14ac:dyDescent="0.2">
      <c r="A44" s="10" t="s">
        <v>498</v>
      </c>
      <c r="B44" s="6" t="s">
        <v>1826</v>
      </c>
      <c r="C44" s="6" t="s">
        <v>725</v>
      </c>
      <c r="D44" s="6" t="s">
        <v>814</v>
      </c>
      <c r="E44" s="6" t="s">
        <v>906</v>
      </c>
      <c r="F44" s="6" t="s">
        <v>993</v>
      </c>
      <c r="G44" s="6" t="s">
        <v>1084</v>
      </c>
      <c r="H44" s="6" t="s">
        <v>1162</v>
      </c>
      <c r="I44" s="6" t="s">
        <v>2760</v>
      </c>
      <c r="J44" s="6" t="s">
        <v>2657</v>
      </c>
      <c r="K44" s="6" t="s">
        <v>2553</v>
      </c>
      <c r="L44" s="6" t="s">
        <v>2448</v>
      </c>
      <c r="M44" s="6" t="s">
        <v>3603</v>
      </c>
      <c r="N44" s="6" t="s">
        <v>3504</v>
      </c>
    </row>
    <row r="45" spans="1:14" x14ac:dyDescent="0.2">
      <c r="A45" s="10" t="s">
        <v>6</v>
      </c>
      <c r="B45" s="6" t="s">
        <v>365</v>
      </c>
      <c r="C45" s="6" t="s">
        <v>385</v>
      </c>
      <c r="D45" s="6" t="s">
        <v>815</v>
      </c>
      <c r="E45" s="6" t="s">
        <v>907</v>
      </c>
      <c r="F45" s="6" t="s">
        <v>994</v>
      </c>
      <c r="G45" s="6" t="s">
        <v>458</v>
      </c>
      <c r="H45" s="6" t="s">
        <v>474</v>
      </c>
      <c r="I45" s="6" t="s">
        <v>2317</v>
      </c>
      <c r="J45" s="6" t="s">
        <v>2341</v>
      </c>
      <c r="K45" s="6" t="s">
        <v>2365</v>
      </c>
      <c r="L45" s="6" t="s">
        <v>2390</v>
      </c>
      <c r="M45" s="6" t="s">
        <v>3604</v>
      </c>
      <c r="N45" s="6" t="s">
        <v>3505</v>
      </c>
    </row>
    <row r="46" spans="1:14" x14ac:dyDescent="0.2">
      <c r="A46" s="10" t="s">
        <v>499</v>
      </c>
      <c r="B46" s="6" t="s">
        <v>646</v>
      </c>
      <c r="C46" s="6" t="s">
        <v>726</v>
      </c>
      <c r="D46" s="6" t="s">
        <v>816</v>
      </c>
      <c r="E46" s="6" t="s">
        <v>908</v>
      </c>
      <c r="F46" s="6" t="s">
        <v>995</v>
      </c>
      <c r="G46" s="6" t="s">
        <v>1085</v>
      </c>
      <c r="H46" s="6" t="s">
        <v>1163</v>
      </c>
      <c r="I46" s="6" t="s">
        <v>2761</v>
      </c>
      <c r="J46" s="6" t="s">
        <v>2658</v>
      </c>
      <c r="K46" s="6" t="s">
        <v>2554</v>
      </c>
      <c r="L46" s="6" t="s">
        <v>2449</v>
      </c>
      <c r="M46" s="6" t="s">
        <v>3605</v>
      </c>
      <c r="N46" s="6" t="s">
        <v>3506</v>
      </c>
    </row>
    <row r="47" spans="1:14" x14ac:dyDescent="0.2">
      <c r="A47" s="10" t="s">
        <v>500</v>
      </c>
      <c r="B47" s="6" t="s">
        <v>647</v>
      </c>
      <c r="C47" s="6" t="s">
        <v>727</v>
      </c>
      <c r="D47" s="6" t="s">
        <v>817</v>
      </c>
      <c r="E47" s="6" t="s">
        <v>909</v>
      </c>
      <c r="F47" s="6" t="s">
        <v>996</v>
      </c>
      <c r="G47" s="6" t="s">
        <v>1086</v>
      </c>
      <c r="H47" s="6" t="s">
        <v>1164</v>
      </c>
      <c r="I47" s="6" t="s">
        <v>2762</v>
      </c>
      <c r="J47" s="6" t="s">
        <v>2659</v>
      </c>
      <c r="K47" s="6" t="s">
        <v>2555</v>
      </c>
      <c r="L47" s="6" t="s">
        <v>2450</v>
      </c>
      <c r="M47" s="6" t="s">
        <v>3606</v>
      </c>
      <c r="N47" s="6" t="s">
        <v>3507</v>
      </c>
    </row>
    <row r="48" spans="1:14" x14ac:dyDescent="0.2">
      <c r="A48" s="10" t="s">
        <v>10</v>
      </c>
      <c r="B48" s="6" t="s">
        <v>366</v>
      </c>
      <c r="C48" s="6" t="s">
        <v>388</v>
      </c>
      <c r="D48" s="6" t="s">
        <v>818</v>
      </c>
      <c r="E48" s="6" t="s">
        <v>910</v>
      </c>
      <c r="F48" s="6" t="s">
        <v>997</v>
      </c>
      <c r="G48" s="6" t="s">
        <v>461</v>
      </c>
      <c r="H48" s="6" t="s">
        <v>1165</v>
      </c>
      <c r="I48" s="6" t="s">
        <v>2320</v>
      </c>
      <c r="J48" s="6" t="s">
        <v>2660</v>
      </c>
      <c r="K48" s="6" t="s">
        <v>2556</v>
      </c>
      <c r="L48" s="6" t="s">
        <v>2393</v>
      </c>
      <c r="M48" s="6" t="s">
        <v>3607</v>
      </c>
      <c r="N48" s="6" t="s">
        <v>3508</v>
      </c>
    </row>
    <row r="49" spans="1:14" x14ac:dyDescent="0.2">
      <c r="A49" s="10" t="s">
        <v>501</v>
      </c>
      <c r="B49" s="6" t="s">
        <v>1822</v>
      </c>
      <c r="C49" s="6" t="s">
        <v>728</v>
      </c>
      <c r="D49" s="6" t="s">
        <v>819</v>
      </c>
      <c r="E49" s="6" t="s">
        <v>911</v>
      </c>
      <c r="F49" s="6" t="s">
        <v>998</v>
      </c>
      <c r="G49" s="6" t="s">
        <v>1087</v>
      </c>
      <c r="H49" s="6" t="s">
        <v>1166</v>
      </c>
      <c r="I49" s="6" t="s">
        <v>2763</v>
      </c>
      <c r="J49" s="6" t="s">
        <v>2661</v>
      </c>
      <c r="K49" s="6" t="s">
        <v>2557</v>
      </c>
      <c r="L49" s="6" t="s">
        <v>2451</v>
      </c>
      <c r="M49" s="6" t="s">
        <v>3608</v>
      </c>
      <c r="N49" s="6" t="s">
        <v>3509</v>
      </c>
    </row>
    <row r="50" spans="1:14" x14ac:dyDescent="0.2">
      <c r="A50" s="10" t="s">
        <v>12</v>
      </c>
      <c r="B50" s="6" t="s">
        <v>369</v>
      </c>
      <c r="C50" s="6" t="s">
        <v>729</v>
      </c>
      <c r="D50" s="6" t="s">
        <v>820</v>
      </c>
      <c r="E50" s="6" t="s">
        <v>912</v>
      </c>
      <c r="F50" s="6" t="s">
        <v>999</v>
      </c>
      <c r="G50" s="6" t="s">
        <v>464</v>
      </c>
      <c r="H50" s="6" t="s">
        <v>480</v>
      </c>
      <c r="I50" s="6" t="s">
        <v>2323</v>
      </c>
      <c r="J50" s="6" t="s">
        <v>2347</v>
      </c>
      <c r="K50" s="6" t="s">
        <v>2371</v>
      </c>
      <c r="L50" s="6" t="s">
        <v>2452</v>
      </c>
      <c r="M50" s="6" t="s">
        <v>3609</v>
      </c>
      <c r="N50" s="6" t="s">
        <v>3510</v>
      </c>
    </row>
    <row r="51" spans="1:14" x14ac:dyDescent="0.2">
      <c r="A51" s="10" t="s">
        <v>502</v>
      </c>
      <c r="B51" s="6" t="s">
        <v>648</v>
      </c>
      <c r="C51" s="6" t="s">
        <v>730</v>
      </c>
      <c r="D51" s="6" t="s">
        <v>821</v>
      </c>
      <c r="E51" s="6" t="s">
        <v>913</v>
      </c>
      <c r="F51" s="6" t="s">
        <v>1000</v>
      </c>
      <c r="G51" s="6" t="s">
        <v>1088</v>
      </c>
      <c r="H51" s="6" t="s">
        <v>1167</v>
      </c>
      <c r="I51" s="6" t="s">
        <v>2764</v>
      </c>
      <c r="J51" s="6" t="s">
        <v>2662</v>
      </c>
      <c r="K51" s="6" t="s">
        <v>2558</v>
      </c>
      <c r="L51" s="6" t="s">
        <v>2453</v>
      </c>
      <c r="M51" s="6" t="s">
        <v>3610</v>
      </c>
      <c r="N51" s="6" t="s">
        <v>3511</v>
      </c>
    </row>
    <row r="52" spans="1:14" x14ac:dyDescent="0.2">
      <c r="A52" s="10" t="s">
        <v>16</v>
      </c>
      <c r="B52" s="6" t="s">
        <v>649</v>
      </c>
      <c r="C52" s="6" t="s">
        <v>731</v>
      </c>
      <c r="D52" s="6" t="s">
        <v>822</v>
      </c>
      <c r="E52" s="6" t="s">
        <v>914</v>
      </c>
      <c r="F52" s="6" t="s">
        <v>1001</v>
      </c>
      <c r="G52" s="6" t="s">
        <v>1089</v>
      </c>
      <c r="H52" s="6" t="s">
        <v>1168</v>
      </c>
      <c r="I52" s="6" t="s">
        <v>2765</v>
      </c>
      <c r="J52" s="6" t="s">
        <v>2663</v>
      </c>
      <c r="K52" s="6" t="s">
        <v>2559</v>
      </c>
      <c r="L52" s="6" t="s">
        <v>2454</v>
      </c>
      <c r="M52" s="6" t="s">
        <v>3611</v>
      </c>
      <c r="N52" s="6" t="s">
        <v>3512</v>
      </c>
    </row>
    <row r="53" spans="1:14" x14ac:dyDescent="0.2">
      <c r="A53" s="10" t="s">
        <v>503</v>
      </c>
      <c r="B53" s="6" t="s">
        <v>370</v>
      </c>
      <c r="C53" s="6" t="s">
        <v>732</v>
      </c>
      <c r="D53" s="6" t="s">
        <v>823</v>
      </c>
      <c r="E53" s="6" t="s">
        <v>915</v>
      </c>
      <c r="F53" s="6" t="s">
        <v>1002</v>
      </c>
      <c r="G53" s="6" t="s">
        <v>1090</v>
      </c>
      <c r="H53" s="6" t="s">
        <v>482</v>
      </c>
      <c r="I53" s="6" t="s">
        <v>2325</v>
      </c>
      <c r="J53" s="6" t="s">
        <v>2664</v>
      </c>
      <c r="K53" s="6" t="s">
        <v>2560</v>
      </c>
      <c r="L53" s="6" t="s">
        <v>2455</v>
      </c>
      <c r="M53" s="6" t="s">
        <v>3612</v>
      </c>
      <c r="N53" s="6" t="s">
        <v>2325</v>
      </c>
    </row>
    <row r="54" spans="1:14" x14ac:dyDescent="0.2">
      <c r="A54" s="10" t="s">
        <v>504</v>
      </c>
      <c r="B54" s="6" t="s">
        <v>650</v>
      </c>
      <c r="C54" s="6" t="s">
        <v>733</v>
      </c>
      <c r="D54" s="6" t="s">
        <v>824</v>
      </c>
      <c r="E54" s="6" t="s">
        <v>916</v>
      </c>
      <c r="F54" s="6" t="s">
        <v>1003</v>
      </c>
      <c r="G54" s="6" t="s">
        <v>504</v>
      </c>
      <c r="H54" s="6" t="s">
        <v>1169</v>
      </c>
      <c r="I54" s="6" t="s">
        <v>2766</v>
      </c>
      <c r="J54" s="6" t="s">
        <v>2665</v>
      </c>
      <c r="K54" s="6" t="s">
        <v>2561</v>
      </c>
      <c r="L54" s="6" t="s">
        <v>2456</v>
      </c>
      <c r="M54" s="6" t="s">
        <v>3613</v>
      </c>
      <c r="N54" s="6" t="s">
        <v>3513</v>
      </c>
    </row>
    <row r="55" spans="1:14" x14ac:dyDescent="0.2">
      <c r="A55" s="10" t="s">
        <v>505</v>
      </c>
      <c r="B55" s="6" t="s">
        <v>651</v>
      </c>
      <c r="C55" s="6" t="s">
        <v>734</v>
      </c>
      <c r="D55" s="6" t="s">
        <v>825</v>
      </c>
      <c r="E55" s="6" t="s">
        <v>917</v>
      </c>
      <c r="F55" s="6" t="s">
        <v>1004</v>
      </c>
      <c r="G55" s="6" t="s">
        <v>1091</v>
      </c>
      <c r="H55" s="6" t="s">
        <v>1170</v>
      </c>
      <c r="I55" s="6" t="s">
        <v>2767</v>
      </c>
      <c r="J55" s="6" t="s">
        <v>2666</v>
      </c>
      <c r="K55" s="6" t="s">
        <v>2562</v>
      </c>
      <c r="L55" s="6" t="s">
        <v>2457</v>
      </c>
      <c r="M55" s="6" t="s">
        <v>3614</v>
      </c>
      <c r="N55" s="6" t="s">
        <v>3514</v>
      </c>
    </row>
    <row r="56" spans="1:14" x14ac:dyDescent="0.2">
      <c r="A56" s="13" t="s">
        <v>506</v>
      </c>
      <c r="B56" s="6" t="s">
        <v>652</v>
      </c>
      <c r="C56" s="6" t="s">
        <v>735</v>
      </c>
      <c r="D56" s="6" t="s">
        <v>826</v>
      </c>
      <c r="E56" s="6" t="s">
        <v>918</v>
      </c>
      <c r="F56" s="6" t="s">
        <v>1005</v>
      </c>
      <c r="G56" s="6" t="s">
        <v>1092</v>
      </c>
      <c r="H56" s="6" t="s">
        <v>1171</v>
      </c>
      <c r="I56" s="6" t="s">
        <v>2768</v>
      </c>
      <c r="J56" s="6" t="s">
        <v>2667</v>
      </c>
      <c r="K56" s="6" t="s">
        <v>2563</v>
      </c>
      <c r="L56" s="6" t="s">
        <v>2458</v>
      </c>
      <c r="M56" s="6" t="s">
        <v>3615</v>
      </c>
      <c r="N56" s="6" t="s">
        <v>3515</v>
      </c>
    </row>
    <row r="57" spans="1:14" x14ac:dyDescent="0.2">
      <c r="A57" s="13" t="s">
        <v>19</v>
      </c>
      <c r="B57" s="6" t="s">
        <v>371</v>
      </c>
      <c r="C57" s="6" t="s">
        <v>19</v>
      </c>
      <c r="D57" s="6" t="s">
        <v>827</v>
      </c>
      <c r="E57" s="6" t="s">
        <v>919</v>
      </c>
      <c r="F57" s="6" t="s">
        <v>19</v>
      </c>
      <c r="G57" s="6" t="s">
        <v>414</v>
      </c>
      <c r="H57" s="6" t="s">
        <v>1172</v>
      </c>
      <c r="I57" s="6" t="s">
        <v>357</v>
      </c>
      <c r="J57" s="6" t="s">
        <v>19</v>
      </c>
      <c r="K57" s="6" t="s">
        <v>2564</v>
      </c>
      <c r="L57" s="6" t="s">
        <v>2459</v>
      </c>
      <c r="M57" s="6" t="s">
        <v>3616</v>
      </c>
      <c r="N57" s="6" t="s">
        <v>3516</v>
      </c>
    </row>
    <row r="58" spans="1:14" x14ac:dyDescent="0.2">
      <c r="A58" s="13" t="s">
        <v>507</v>
      </c>
      <c r="B58" s="6" t="s">
        <v>653</v>
      </c>
      <c r="C58" s="6" t="s">
        <v>736</v>
      </c>
      <c r="D58" s="6" t="s">
        <v>828</v>
      </c>
      <c r="E58" s="6" t="s">
        <v>920</v>
      </c>
      <c r="F58" s="6" t="s">
        <v>1006</v>
      </c>
      <c r="G58" s="6" t="s">
        <v>1093</v>
      </c>
      <c r="H58" s="6" t="s">
        <v>1173</v>
      </c>
      <c r="I58" s="6" t="s">
        <v>2769</v>
      </c>
      <c r="J58" s="6" t="s">
        <v>2668</v>
      </c>
      <c r="K58" s="6" t="s">
        <v>2565</v>
      </c>
      <c r="L58" s="6" t="s">
        <v>2460</v>
      </c>
      <c r="M58" s="6" t="s">
        <v>3617</v>
      </c>
      <c r="N58" s="6" t="s">
        <v>3517</v>
      </c>
    </row>
    <row r="59" spans="1:14" x14ac:dyDescent="0.2">
      <c r="A59" s="13" t="s">
        <v>508</v>
      </c>
      <c r="B59" s="6" t="s">
        <v>654</v>
      </c>
      <c r="C59" s="6" t="s">
        <v>737</v>
      </c>
      <c r="D59" s="6" t="s">
        <v>829</v>
      </c>
      <c r="E59" s="6" t="s">
        <v>921</v>
      </c>
      <c r="F59" s="6" t="s">
        <v>1007</v>
      </c>
      <c r="G59" s="6" t="s">
        <v>1094</v>
      </c>
      <c r="H59" s="6" t="s">
        <v>1174</v>
      </c>
      <c r="I59" s="6" t="s">
        <v>2770</v>
      </c>
      <c r="J59" s="6" t="s">
        <v>2669</v>
      </c>
      <c r="K59" s="6" t="s">
        <v>2566</v>
      </c>
      <c r="L59" s="6" t="s">
        <v>2461</v>
      </c>
      <c r="M59" s="6" t="s">
        <v>3618</v>
      </c>
      <c r="N59" s="6" t="s">
        <v>3518</v>
      </c>
    </row>
    <row r="60" spans="1:14" x14ac:dyDescent="0.2">
      <c r="A60" s="13" t="s">
        <v>509</v>
      </c>
      <c r="B60" s="6" t="s">
        <v>655</v>
      </c>
      <c r="C60" s="6" t="s">
        <v>738</v>
      </c>
      <c r="D60" s="6" t="s">
        <v>830</v>
      </c>
      <c r="E60" s="6" t="s">
        <v>922</v>
      </c>
      <c r="F60" s="6" t="s">
        <v>1008</v>
      </c>
      <c r="G60" s="6" t="s">
        <v>1095</v>
      </c>
      <c r="H60" s="6" t="s">
        <v>1175</v>
      </c>
      <c r="I60" s="6" t="s">
        <v>2771</v>
      </c>
      <c r="J60" s="6" t="s">
        <v>2670</v>
      </c>
      <c r="K60" s="6" t="s">
        <v>2567</v>
      </c>
      <c r="L60" s="6" t="s">
        <v>2462</v>
      </c>
      <c r="M60" s="6" t="s">
        <v>3619</v>
      </c>
      <c r="N60" s="6" t="s">
        <v>3519</v>
      </c>
    </row>
    <row r="61" spans="1:14" x14ac:dyDescent="0.2">
      <c r="A61" s="13" t="s">
        <v>95</v>
      </c>
      <c r="B61" s="6" t="s">
        <v>96</v>
      </c>
      <c r="C61" s="6" t="s">
        <v>97</v>
      </c>
      <c r="D61" s="6" t="s">
        <v>98</v>
      </c>
      <c r="E61" s="6" t="s">
        <v>434</v>
      </c>
      <c r="F61" s="6" t="s">
        <v>99</v>
      </c>
      <c r="G61" s="6" t="s">
        <v>100</v>
      </c>
      <c r="H61" s="6" t="s">
        <v>101</v>
      </c>
      <c r="I61" s="6" t="s">
        <v>2333</v>
      </c>
      <c r="J61" s="6" t="s">
        <v>2357</v>
      </c>
      <c r="K61" s="6" t="s">
        <v>2382</v>
      </c>
      <c r="L61" s="6" t="s">
        <v>2406</v>
      </c>
      <c r="M61" s="6" t="s">
        <v>3620</v>
      </c>
      <c r="N61" s="6" t="s">
        <v>3520</v>
      </c>
    </row>
    <row r="62" spans="1:14" x14ac:dyDescent="0.2">
      <c r="A62" s="13" t="s">
        <v>510</v>
      </c>
      <c r="B62" s="6" t="s">
        <v>656</v>
      </c>
      <c r="C62" s="6" t="s">
        <v>739</v>
      </c>
      <c r="D62" s="6" t="s">
        <v>831</v>
      </c>
      <c r="E62" s="6" t="s">
        <v>739</v>
      </c>
      <c r="F62" s="6" t="s">
        <v>1009</v>
      </c>
      <c r="G62" s="6" t="s">
        <v>1096</v>
      </c>
      <c r="H62" s="6" t="s">
        <v>1176</v>
      </c>
      <c r="I62" s="6" t="s">
        <v>2772</v>
      </c>
      <c r="J62" s="6" t="s">
        <v>2671</v>
      </c>
      <c r="K62" s="6" t="s">
        <v>2568</v>
      </c>
      <c r="L62" s="6" t="s">
        <v>2463</v>
      </c>
      <c r="M62" s="6" t="s">
        <v>3621</v>
      </c>
      <c r="N62" s="6" t="s">
        <v>2772</v>
      </c>
    </row>
    <row r="63" spans="1:14" x14ac:dyDescent="0.2">
      <c r="A63" s="13" t="s">
        <v>511</v>
      </c>
      <c r="B63" s="6" t="s">
        <v>657</v>
      </c>
      <c r="C63" s="6" t="s">
        <v>740</v>
      </c>
      <c r="D63" s="6" t="s">
        <v>832</v>
      </c>
      <c r="E63" s="6" t="s">
        <v>923</v>
      </c>
      <c r="F63" s="6" t="s">
        <v>1010</v>
      </c>
      <c r="G63" s="6" t="s">
        <v>1097</v>
      </c>
      <c r="H63" s="6" t="s">
        <v>1177</v>
      </c>
      <c r="I63" s="6" t="s">
        <v>2773</v>
      </c>
      <c r="J63" s="6" t="s">
        <v>2672</v>
      </c>
      <c r="K63" s="6" t="s">
        <v>2569</v>
      </c>
      <c r="L63" s="6" t="s">
        <v>2464</v>
      </c>
      <c r="M63" s="6" t="s">
        <v>3622</v>
      </c>
      <c r="N63" s="6" t="s">
        <v>2773</v>
      </c>
    </row>
    <row r="64" spans="1:14" x14ac:dyDescent="0.2">
      <c r="A64" s="13" t="s">
        <v>512</v>
      </c>
      <c r="B64" s="6" t="s">
        <v>1827</v>
      </c>
      <c r="C64" s="6" t="s">
        <v>741</v>
      </c>
      <c r="D64" s="6" t="s">
        <v>833</v>
      </c>
      <c r="E64" s="6" t="s">
        <v>924</v>
      </c>
      <c r="F64" s="6" t="s">
        <v>1011</v>
      </c>
      <c r="G64" s="6" t="s">
        <v>1098</v>
      </c>
      <c r="H64" s="6" t="s">
        <v>1178</v>
      </c>
      <c r="I64" s="6" t="s">
        <v>2774</v>
      </c>
      <c r="J64" s="6" t="s">
        <v>2673</v>
      </c>
      <c r="K64" s="6" t="s">
        <v>2570</v>
      </c>
      <c r="L64" s="6" t="s">
        <v>2465</v>
      </c>
      <c r="M64" s="6" t="s">
        <v>3623</v>
      </c>
      <c r="N64" s="6" t="s">
        <v>3521</v>
      </c>
    </row>
    <row r="65" spans="1:14" x14ac:dyDescent="0.2">
      <c r="A65" s="13" t="s">
        <v>513</v>
      </c>
      <c r="B65" s="6" t="s">
        <v>658</v>
      </c>
      <c r="C65" s="6" t="s">
        <v>742</v>
      </c>
      <c r="D65" s="6" t="s">
        <v>834</v>
      </c>
      <c r="E65" s="6" t="s">
        <v>925</v>
      </c>
      <c r="F65" s="6" t="s">
        <v>1012</v>
      </c>
      <c r="G65" s="6" t="s">
        <v>1099</v>
      </c>
      <c r="H65" s="6" t="s">
        <v>1179</v>
      </c>
      <c r="I65" s="6" t="s">
        <v>2775</v>
      </c>
      <c r="J65" s="6" t="s">
        <v>2674</v>
      </c>
      <c r="K65" s="6" t="s">
        <v>2571</v>
      </c>
      <c r="L65" s="6" t="s">
        <v>2466</v>
      </c>
      <c r="M65" s="6" t="s">
        <v>3624</v>
      </c>
      <c r="N65" s="6" t="s">
        <v>3522</v>
      </c>
    </row>
    <row r="66" spans="1:14" x14ac:dyDescent="0.2">
      <c r="A66" s="13" t="s">
        <v>514</v>
      </c>
      <c r="B66" s="6" t="s">
        <v>659</v>
      </c>
      <c r="C66" s="6" t="s">
        <v>743</v>
      </c>
      <c r="D66" s="6" t="s">
        <v>835</v>
      </c>
      <c r="E66" s="6" t="s">
        <v>926</v>
      </c>
      <c r="F66" s="6" t="s">
        <v>1013</v>
      </c>
      <c r="G66" s="6" t="s">
        <v>1100</v>
      </c>
      <c r="H66" s="6" t="s">
        <v>1180</v>
      </c>
      <c r="I66" s="6" t="s">
        <v>2776</v>
      </c>
      <c r="J66" s="6" t="s">
        <v>2675</v>
      </c>
      <c r="K66" s="6" t="s">
        <v>2572</v>
      </c>
      <c r="L66" s="6" t="s">
        <v>2467</v>
      </c>
      <c r="M66" s="6" t="s">
        <v>3625</v>
      </c>
      <c r="N66" s="6" t="s">
        <v>3523</v>
      </c>
    </row>
    <row r="67" spans="1:14" x14ac:dyDescent="0.2">
      <c r="A67" s="13" t="s">
        <v>515</v>
      </c>
      <c r="B67" s="6" t="s">
        <v>660</v>
      </c>
      <c r="C67" s="6" t="s">
        <v>744</v>
      </c>
      <c r="D67" s="6" t="s">
        <v>836</v>
      </c>
      <c r="E67" s="6" t="s">
        <v>927</v>
      </c>
      <c r="F67" s="6" t="s">
        <v>1014</v>
      </c>
      <c r="G67" s="6" t="s">
        <v>1101</v>
      </c>
      <c r="H67" s="6" t="s">
        <v>1181</v>
      </c>
      <c r="I67" s="6" t="s">
        <v>2777</v>
      </c>
      <c r="J67" s="6" t="s">
        <v>2676</v>
      </c>
      <c r="K67" s="6" t="s">
        <v>2573</v>
      </c>
      <c r="L67" s="6" t="s">
        <v>2468</v>
      </c>
      <c r="M67" s="6" t="s">
        <v>3626</v>
      </c>
      <c r="N67" s="6" t="s">
        <v>3524</v>
      </c>
    </row>
    <row r="68" spans="1:14" x14ac:dyDescent="0.2">
      <c r="A68" s="13" t="s">
        <v>9</v>
      </c>
      <c r="B68" s="6" t="s">
        <v>661</v>
      </c>
      <c r="C68" s="6" t="s">
        <v>745</v>
      </c>
      <c r="D68" s="6" t="s">
        <v>837</v>
      </c>
      <c r="E68" s="6" t="s">
        <v>928</v>
      </c>
      <c r="F68" s="6" t="s">
        <v>1015</v>
      </c>
      <c r="G68" s="6" t="s">
        <v>1102</v>
      </c>
      <c r="H68" s="6" t="s">
        <v>1182</v>
      </c>
      <c r="I68" s="6" t="s">
        <v>2778</v>
      </c>
      <c r="J68" s="6" t="s">
        <v>2677</v>
      </c>
      <c r="K68" s="6" t="s">
        <v>2574</v>
      </c>
      <c r="L68" s="6" t="s">
        <v>2469</v>
      </c>
      <c r="M68" s="6" t="s">
        <v>3627</v>
      </c>
      <c r="N68" s="6" t="s">
        <v>3525</v>
      </c>
    </row>
    <row r="69" spans="1:14" x14ac:dyDescent="0.2">
      <c r="A69" s="13" t="s">
        <v>23</v>
      </c>
      <c r="B69" s="6" t="s">
        <v>1843</v>
      </c>
      <c r="C69" s="6" t="s">
        <v>746</v>
      </c>
      <c r="D69" s="6" t="s">
        <v>23</v>
      </c>
      <c r="E69" s="6" t="s">
        <v>23</v>
      </c>
      <c r="F69" s="6" t="s">
        <v>23</v>
      </c>
      <c r="G69" s="6" t="s">
        <v>23</v>
      </c>
      <c r="H69" s="6" t="s">
        <v>1183</v>
      </c>
      <c r="I69" s="6" t="s">
        <v>2779</v>
      </c>
      <c r="J69" s="6" t="s">
        <v>2678</v>
      </c>
      <c r="K69" s="6" t="s">
        <v>2575</v>
      </c>
      <c r="L69" s="6" t="s">
        <v>2470</v>
      </c>
      <c r="M69" s="6" t="s">
        <v>3628</v>
      </c>
      <c r="N69" s="6" t="s">
        <v>2779</v>
      </c>
    </row>
    <row r="70" spans="1:14" x14ac:dyDescent="0.2">
      <c r="A70" s="13" t="s">
        <v>26</v>
      </c>
      <c r="B70" s="6" t="s">
        <v>1845</v>
      </c>
      <c r="C70" s="6" t="s">
        <v>26</v>
      </c>
      <c r="D70" s="6" t="s">
        <v>838</v>
      </c>
      <c r="E70" s="6" t="s">
        <v>929</v>
      </c>
      <c r="F70" s="6" t="s">
        <v>1016</v>
      </c>
      <c r="G70" s="6" t="s">
        <v>26</v>
      </c>
      <c r="H70" s="6" t="s">
        <v>1184</v>
      </c>
      <c r="I70" s="6" t="s">
        <v>26</v>
      </c>
      <c r="J70" s="6" t="s">
        <v>2679</v>
      </c>
      <c r="K70" s="6" t="s">
        <v>2576</v>
      </c>
      <c r="L70" s="6" t="s">
        <v>2471</v>
      </c>
      <c r="M70" s="6" t="s">
        <v>3629</v>
      </c>
      <c r="N70" s="6" t="s">
        <v>3526</v>
      </c>
    </row>
    <row r="71" spans="1:14" x14ac:dyDescent="0.2">
      <c r="A71" s="13" t="s">
        <v>27</v>
      </c>
      <c r="B71" s="6" t="s">
        <v>1844</v>
      </c>
      <c r="C71" s="6" t="s">
        <v>747</v>
      </c>
      <c r="D71" s="6" t="s">
        <v>839</v>
      </c>
      <c r="E71" s="6" t="s">
        <v>930</v>
      </c>
      <c r="F71" s="6" t="s">
        <v>1017</v>
      </c>
      <c r="G71" s="6" t="s">
        <v>1103</v>
      </c>
      <c r="H71" s="6" t="s">
        <v>1185</v>
      </c>
      <c r="I71" s="6" t="s">
        <v>2780</v>
      </c>
      <c r="J71" s="6" t="s">
        <v>2680</v>
      </c>
      <c r="K71" s="6" t="s">
        <v>2577</v>
      </c>
      <c r="L71" s="6" t="s">
        <v>2472</v>
      </c>
      <c r="M71" s="6" t="s">
        <v>3630</v>
      </c>
      <c r="N71" s="6" t="s">
        <v>3527</v>
      </c>
    </row>
    <row r="72" spans="1:14" x14ac:dyDescent="0.2">
      <c r="A72" s="13" t="s">
        <v>516</v>
      </c>
      <c r="B72" s="6" t="s">
        <v>662</v>
      </c>
      <c r="C72" s="6" t="s">
        <v>748</v>
      </c>
      <c r="D72" s="6" t="s">
        <v>840</v>
      </c>
      <c r="E72" s="6" t="s">
        <v>931</v>
      </c>
      <c r="F72" s="6" t="s">
        <v>1018</v>
      </c>
      <c r="G72" s="6" t="s">
        <v>1104</v>
      </c>
      <c r="H72" s="6" t="s">
        <v>1186</v>
      </c>
      <c r="I72" s="6" t="s">
        <v>2781</v>
      </c>
      <c r="J72" s="6" t="s">
        <v>2681</v>
      </c>
      <c r="K72" s="6" t="s">
        <v>2578</v>
      </c>
      <c r="L72" s="6" t="s">
        <v>2473</v>
      </c>
      <c r="M72" s="6" t="s">
        <v>3631</v>
      </c>
      <c r="N72" s="6" t="s">
        <v>3528</v>
      </c>
    </row>
    <row r="73" spans="1:14" x14ac:dyDescent="0.2">
      <c r="A73" s="13" t="s">
        <v>35</v>
      </c>
      <c r="B73" s="6" t="s">
        <v>663</v>
      </c>
      <c r="C73" s="6" t="s">
        <v>749</v>
      </c>
      <c r="D73" s="6" t="s">
        <v>841</v>
      </c>
      <c r="E73" s="6" t="s">
        <v>932</v>
      </c>
      <c r="F73" s="6" t="s">
        <v>1019</v>
      </c>
      <c r="G73" s="6" t="s">
        <v>1105</v>
      </c>
      <c r="H73" s="6" t="s">
        <v>1187</v>
      </c>
      <c r="I73" s="6" t="s">
        <v>2782</v>
      </c>
      <c r="J73" s="6" t="s">
        <v>2682</v>
      </c>
      <c r="K73" s="6" t="s">
        <v>2579</v>
      </c>
      <c r="L73" s="6" t="s">
        <v>2474</v>
      </c>
      <c r="M73" s="6" t="s">
        <v>3632</v>
      </c>
      <c r="N73" s="6" t="s">
        <v>3529</v>
      </c>
    </row>
    <row r="74" spans="1:14" x14ac:dyDescent="0.2">
      <c r="A74" s="13" t="s">
        <v>7</v>
      </c>
      <c r="B74" s="6" t="s">
        <v>664</v>
      </c>
      <c r="C74" s="6" t="s">
        <v>750</v>
      </c>
      <c r="D74" s="6" t="s">
        <v>842</v>
      </c>
      <c r="E74" s="6" t="s">
        <v>933</v>
      </c>
      <c r="F74" s="6" t="s">
        <v>1020</v>
      </c>
      <c r="G74" s="6" t="s">
        <v>1106</v>
      </c>
      <c r="H74" s="6" t="s">
        <v>1188</v>
      </c>
      <c r="I74" s="6" t="s">
        <v>2783</v>
      </c>
      <c r="J74" s="6" t="s">
        <v>2683</v>
      </c>
      <c r="K74" s="6" t="s">
        <v>2580</v>
      </c>
      <c r="L74" s="6" t="s">
        <v>2475</v>
      </c>
      <c r="M74" s="6" t="s">
        <v>3633</v>
      </c>
      <c r="N74" s="6" t="s">
        <v>3530</v>
      </c>
    </row>
    <row r="75" spans="1:14" x14ac:dyDescent="0.2">
      <c r="A75" s="13" t="s">
        <v>517</v>
      </c>
      <c r="B75" s="6" t="s">
        <v>665</v>
      </c>
      <c r="C75" s="6" t="s">
        <v>751</v>
      </c>
      <c r="D75" s="6" t="s">
        <v>843</v>
      </c>
      <c r="E75" s="6" t="s">
        <v>934</v>
      </c>
      <c r="F75" s="6" t="s">
        <v>1021</v>
      </c>
      <c r="G75" s="6" t="s">
        <v>1107</v>
      </c>
      <c r="H75" s="6" t="s">
        <v>1189</v>
      </c>
      <c r="I75" s="6" t="s">
        <v>2784</v>
      </c>
      <c r="J75" s="6" t="s">
        <v>2684</v>
      </c>
      <c r="K75" s="6" t="s">
        <v>2581</v>
      </c>
      <c r="L75" s="6" t="s">
        <v>2476</v>
      </c>
      <c r="M75" s="6" t="s">
        <v>3634</v>
      </c>
      <c r="N75" s="6" t="s">
        <v>2784</v>
      </c>
    </row>
    <row r="76" spans="1:14" x14ac:dyDescent="0.2">
      <c r="A76" s="13" t="s">
        <v>518</v>
      </c>
      <c r="B76" s="6" t="s">
        <v>666</v>
      </c>
      <c r="C76" s="6" t="s">
        <v>752</v>
      </c>
      <c r="D76" s="6" t="s">
        <v>844</v>
      </c>
      <c r="E76" s="6" t="s">
        <v>935</v>
      </c>
      <c r="F76" s="6" t="s">
        <v>1022</v>
      </c>
      <c r="G76" s="6" t="s">
        <v>1108</v>
      </c>
      <c r="H76" s="6" t="s">
        <v>1190</v>
      </c>
      <c r="I76" s="6" t="s">
        <v>2785</v>
      </c>
      <c r="J76" s="6" t="s">
        <v>2685</v>
      </c>
      <c r="K76" s="6" t="s">
        <v>2582</v>
      </c>
      <c r="L76" s="6" t="s">
        <v>2477</v>
      </c>
      <c r="M76" s="6" t="s">
        <v>3635</v>
      </c>
      <c r="N76" s="6" t="s">
        <v>3531</v>
      </c>
    </row>
    <row r="77" spans="1:14" x14ac:dyDescent="0.2">
      <c r="A77" s="13" t="s">
        <v>519</v>
      </c>
      <c r="B77" s="6" t="s">
        <v>667</v>
      </c>
      <c r="C77" s="6" t="s">
        <v>753</v>
      </c>
      <c r="D77" s="6" t="s">
        <v>845</v>
      </c>
      <c r="E77" s="6" t="s">
        <v>936</v>
      </c>
      <c r="F77" s="6" t="s">
        <v>1023</v>
      </c>
      <c r="G77" s="6" t="s">
        <v>1109</v>
      </c>
      <c r="H77" s="6" t="s">
        <v>1191</v>
      </c>
      <c r="I77" s="6" t="s">
        <v>2786</v>
      </c>
      <c r="J77" s="6" t="s">
        <v>2686</v>
      </c>
      <c r="K77" s="6" t="s">
        <v>2583</v>
      </c>
      <c r="L77" s="6" t="s">
        <v>2478</v>
      </c>
      <c r="M77" s="6" t="s">
        <v>3636</v>
      </c>
      <c r="N77" s="6" t="s">
        <v>2786</v>
      </c>
    </row>
    <row r="78" spans="1:14" x14ac:dyDescent="0.2">
      <c r="A78" s="13" t="s">
        <v>2208</v>
      </c>
      <c r="B78" s="6" t="s">
        <v>2216</v>
      </c>
      <c r="C78" s="6" t="s">
        <v>2223</v>
      </c>
      <c r="D78" s="6" t="s">
        <v>2230</v>
      </c>
      <c r="E78" s="6" t="s">
        <v>2237</v>
      </c>
      <c r="F78" s="6" t="s">
        <v>2244</v>
      </c>
      <c r="G78" s="6" t="s">
        <v>2251</v>
      </c>
      <c r="H78" s="6" t="s">
        <v>2258</v>
      </c>
      <c r="I78" s="6" t="s">
        <v>2787</v>
      </c>
      <c r="J78" s="6" t="s">
        <v>2687</v>
      </c>
      <c r="K78" s="6" t="s">
        <v>2584</v>
      </c>
      <c r="L78" s="6" t="s">
        <v>2479</v>
      </c>
      <c r="M78" s="6" t="s">
        <v>3637</v>
      </c>
      <c r="N78" s="6" t="s">
        <v>3532</v>
      </c>
    </row>
    <row r="79" spans="1:14" x14ac:dyDescent="0.2">
      <c r="A79" s="13" t="s">
        <v>520</v>
      </c>
      <c r="B79" s="6" t="s">
        <v>668</v>
      </c>
      <c r="C79" s="6" t="s">
        <v>754</v>
      </c>
      <c r="D79" s="6" t="s">
        <v>846</v>
      </c>
      <c r="E79" s="6" t="s">
        <v>937</v>
      </c>
      <c r="F79" s="6" t="s">
        <v>1024</v>
      </c>
      <c r="G79" s="6" t="s">
        <v>1110</v>
      </c>
      <c r="H79" s="6" t="s">
        <v>1192</v>
      </c>
      <c r="I79" s="6" t="s">
        <v>2788</v>
      </c>
      <c r="J79" s="6" t="s">
        <v>2688</v>
      </c>
      <c r="K79" s="6" t="s">
        <v>2585</v>
      </c>
      <c r="L79" s="6" t="s">
        <v>2480</v>
      </c>
      <c r="M79" s="6" t="s">
        <v>3638</v>
      </c>
      <c r="N79" s="6" t="s">
        <v>3533</v>
      </c>
    </row>
    <row r="80" spans="1:14" x14ac:dyDescent="0.2">
      <c r="A80" s="13" t="s">
        <v>521</v>
      </c>
      <c r="B80" s="6" t="s">
        <v>669</v>
      </c>
      <c r="C80" s="6" t="s">
        <v>755</v>
      </c>
      <c r="D80" s="6" t="s">
        <v>521</v>
      </c>
      <c r="E80" s="6" t="s">
        <v>521</v>
      </c>
      <c r="F80" s="6" t="s">
        <v>1025</v>
      </c>
      <c r="G80" s="6" t="s">
        <v>1111</v>
      </c>
      <c r="H80" s="6" t="s">
        <v>1193</v>
      </c>
      <c r="I80" s="6" t="s">
        <v>2789</v>
      </c>
      <c r="J80" s="6" t="s">
        <v>2689</v>
      </c>
      <c r="K80" s="6" t="s">
        <v>2586</v>
      </c>
      <c r="L80" s="6" t="s">
        <v>2481</v>
      </c>
      <c r="M80" s="6" t="s">
        <v>3639</v>
      </c>
      <c r="N80" s="6" t="s">
        <v>3534</v>
      </c>
    </row>
    <row r="81" spans="1:14" x14ac:dyDescent="0.2">
      <c r="A81" s="13" t="s">
        <v>2211</v>
      </c>
      <c r="B81" s="6" t="s">
        <v>2217</v>
      </c>
      <c r="C81" s="6" t="s">
        <v>2224</v>
      </c>
      <c r="D81" s="6" t="s">
        <v>2231</v>
      </c>
      <c r="E81" s="6" t="s">
        <v>2238</v>
      </c>
      <c r="F81" s="6" t="s">
        <v>2245</v>
      </c>
      <c r="G81" s="6" t="s">
        <v>2252</v>
      </c>
      <c r="H81" s="6" t="s">
        <v>2259</v>
      </c>
      <c r="I81" s="6" t="s">
        <v>2790</v>
      </c>
      <c r="J81" s="6" t="s">
        <v>2690</v>
      </c>
      <c r="K81" s="6" t="s">
        <v>2587</v>
      </c>
      <c r="L81" s="6" t="s">
        <v>2482</v>
      </c>
      <c r="M81" s="6" t="s">
        <v>3640</v>
      </c>
      <c r="N81" s="6" t="s">
        <v>3535</v>
      </c>
    </row>
    <row r="82" spans="1:14" x14ac:dyDescent="0.2">
      <c r="A82" s="13" t="s">
        <v>522</v>
      </c>
      <c r="B82" s="6" t="s">
        <v>670</v>
      </c>
      <c r="C82" s="6" t="s">
        <v>756</v>
      </c>
      <c r="D82" s="6" t="s">
        <v>847</v>
      </c>
      <c r="E82" s="6" t="s">
        <v>938</v>
      </c>
      <c r="F82" s="6" t="s">
        <v>1026</v>
      </c>
      <c r="G82" s="6" t="s">
        <v>1112</v>
      </c>
      <c r="H82" s="6" t="s">
        <v>1194</v>
      </c>
      <c r="I82" s="6" t="s">
        <v>2791</v>
      </c>
      <c r="J82" s="6" t="s">
        <v>2691</v>
      </c>
      <c r="K82" s="6" t="s">
        <v>2588</v>
      </c>
      <c r="L82" s="6" t="s">
        <v>2483</v>
      </c>
      <c r="M82" s="6" t="s">
        <v>3641</v>
      </c>
      <c r="N82" s="6" t="s">
        <v>3536</v>
      </c>
    </row>
    <row r="83" spans="1:14" x14ac:dyDescent="0.2">
      <c r="A83" s="13" t="s">
        <v>21</v>
      </c>
      <c r="B83" s="6" t="s">
        <v>171</v>
      </c>
      <c r="C83" s="6" t="s">
        <v>172</v>
      </c>
      <c r="D83" s="6" t="s">
        <v>173</v>
      </c>
      <c r="E83" s="6" t="s">
        <v>174</v>
      </c>
      <c r="F83" s="6" t="s">
        <v>175</v>
      </c>
      <c r="G83" s="6" t="s">
        <v>176</v>
      </c>
      <c r="H83" s="6" t="s">
        <v>177</v>
      </c>
      <c r="I83" s="6" t="s">
        <v>2792</v>
      </c>
      <c r="J83" s="6" t="s">
        <v>2692</v>
      </c>
      <c r="K83" s="6" t="s">
        <v>2589</v>
      </c>
      <c r="L83" s="6" t="s">
        <v>2484</v>
      </c>
      <c r="M83" s="6" t="s">
        <v>3642</v>
      </c>
      <c r="N83" s="6" t="s">
        <v>3537</v>
      </c>
    </row>
    <row r="84" spans="1:14" x14ac:dyDescent="0.2">
      <c r="A84" s="13" t="s">
        <v>523</v>
      </c>
      <c r="B84" s="6" t="s">
        <v>671</v>
      </c>
      <c r="C84" s="6" t="s">
        <v>757</v>
      </c>
      <c r="D84" s="6" t="s">
        <v>848</v>
      </c>
      <c r="E84" s="6" t="s">
        <v>939</v>
      </c>
      <c r="F84" s="6" t="s">
        <v>1027</v>
      </c>
      <c r="G84" s="6" t="s">
        <v>1113</v>
      </c>
      <c r="H84" s="6" t="s">
        <v>1195</v>
      </c>
      <c r="I84" s="6" t="s">
        <v>2793</v>
      </c>
      <c r="J84" s="6" t="s">
        <v>2693</v>
      </c>
      <c r="K84" s="6" t="s">
        <v>2590</v>
      </c>
      <c r="L84" s="6" t="s">
        <v>2485</v>
      </c>
      <c r="M84" s="6" t="s">
        <v>3643</v>
      </c>
      <c r="N84" s="6" t="s">
        <v>3538</v>
      </c>
    </row>
    <row r="85" spans="1:14" x14ac:dyDescent="0.2">
      <c r="A85" s="13" t="s">
        <v>524</v>
      </c>
      <c r="B85" s="6" t="s">
        <v>672</v>
      </c>
      <c r="C85" s="6" t="s">
        <v>758</v>
      </c>
      <c r="D85" s="6" t="s">
        <v>849</v>
      </c>
      <c r="E85" s="6" t="s">
        <v>940</v>
      </c>
      <c r="F85" s="6" t="s">
        <v>849</v>
      </c>
      <c r="G85" s="6" t="s">
        <v>849</v>
      </c>
      <c r="H85" s="6" t="s">
        <v>1196</v>
      </c>
      <c r="I85" s="6" t="s">
        <v>2794</v>
      </c>
      <c r="J85" s="6" t="s">
        <v>2694</v>
      </c>
      <c r="K85" s="6" t="s">
        <v>2591</v>
      </c>
      <c r="L85" s="6" t="s">
        <v>2486</v>
      </c>
      <c r="M85" s="6" t="s">
        <v>3644</v>
      </c>
      <c r="N85" s="6" t="s">
        <v>2794</v>
      </c>
    </row>
    <row r="86" spans="1:14" x14ac:dyDescent="0.2">
      <c r="A86" s="13" t="s">
        <v>525</v>
      </c>
      <c r="B86" s="6" t="s">
        <v>673</v>
      </c>
      <c r="C86" s="6" t="s">
        <v>759</v>
      </c>
      <c r="D86" s="6" t="s">
        <v>850</v>
      </c>
      <c r="E86" s="6" t="s">
        <v>941</v>
      </c>
      <c r="F86" s="6" t="s">
        <v>1028</v>
      </c>
      <c r="G86" s="6" t="s">
        <v>1114</v>
      </c>
      <c r="H86" s="6" t="s">
        <v>1197</v>
      </c>
      <c r="I86" s="6" t="s">
        <v>2795</v>
      </c>
      <c r="J86" s="6" t="s">
        <v>2695</v>
      </c>
      <c r="K86" s="6" t="s">
        <v>2592</v>
      </c>
      <c r="L86" s="6" t="s">
        <v>2487</v>
      </c>
      <c r="M86" s="6" t="s">
        <v>3645</v>
      </c>
      <c r="N86" s="6" t="s">
        <v>3539</v>
      </c>
    </row>
    <row r="87" spans="1:14" x14ac:dyDescent="0.2">
      <c r="A87" s="13" t="s">
        <v>526</v>
      </c>
      <c r="B87" s="6" t="s">
        <v>674</v>
      </c>
      <c r="C87" s="6" t="s">
        <v>760</v>
      </c>
      <c r="D87" s="6" t="s">
        <v>851</v>
      </c>
      <c r="E87" s="6" t="s">
        <v>942</v>
      </c>
      <c r="F87" s="6" t="s">
        <v>1029</v>
      </c>
      <c r="G87" s="6" t="s">
        <v>1115</v>
      </c>
      <c r="H87" s="6" t="s">
        <v>1198</v>
      </c>
      <c r="I87" s="6" t="s">
        <v>2796</v>
      </c>
      <c r="J87" s="6" t="s">
        <v>2696</v>
      </c>
      <c r="K87" s="6" t="s">
        <v>2593</v>
      </c>
      <c r="L87" s="6" t="s">
        <v>2488</v>
      </c>
      <c r="M87" s="6" t="s">
        <v>3646</v>
      </c>
      <c r="N87" s="6" t="s">
        <v>3540</v>
      </c>
    </row>
    <row r="88" spans="1:14" x14ac:dyDescent="0.2">
      <c r="A88" s="13" t="s">
        <v>527</v>
      </c>
      <c r="B88" s="6" t="s">
        <v>675</v>
      </c>
      <c r="C88" s="6" t="s">
        <v>527</v>
      </c>
      <c r="D88" s="6" t="s">
        <v>852</v>
      </c>
      <c r="E88" s="6" t="s">
        <v>943</v>
      </c>
      <c r="F88" s="6" t="s">
        <v>1030</v>
      </c>
      <c r="G88" s="6" t="s">
        <v>1116</v>
      </c>
      <c r="H88" s="6" t="s">
        <v>1199</v>
      </c>
      <c r="I88" s="6" t="s">
        <v>527</v>
      </c>
      <c r="J88" s="6" t="s">
        <v>2697</v>
      </c>
      <c r="K88" s="6" t="s">
        <v>2594</v>
      </c>
      <c r="L88" s="6" t="s">
        <v>2489</v>
      </c>
      <c r="M88" s="6" t="s">
        <v>3647</v>
      </c>
      <c r="N88" s="6" t="s">
        <v>527</v>
      </c>
    </row>
    <row r="89" spans="1:14" x14ac:dyDescent="0.2">
      <c r="A89" s="13" t="s">
        <v>4057</v>
      </c>
      <c r="B89" s="6" t="s">
        <v>4069</v>
      </c>
      <c r="C89" s="6" t="s">
        <v>4068</v>
      </c>
      <c r="D89" s="6" t="s">
        <v>4065</v>
      </c>
      <c r="E89" s="6" t="s">
        <v>4067</v>
      </c>
      <c r="F89" s="6" t="s">
        <v>4066</v>
      </c>
      <c r="G89" s="6" t="s">
        <v>4065</v>
      </c>
      <c r="H89" s="6" t="s">
        <v>4064</v>
      </c>
      <c r="I89" s="6" t="s">
        <v>4063</v>
      </c>
      <c r="J89" s="6" t="s">
        <v>4062</v>
      </c>
      <c r="K89" s="6" t="s">
        <v>4061</v>
      </c>
      <c r="L89" s="6" t="s">
        <v>4060</v>
      </c>
      <c r="M89" s="6" t="s">
        <v>4059</v>
      </c>
      <c r="N89" s="6" t="s">
        <v>4058</v>
      </c>
    </row>
    <row r="90" spans="1:14" x14ac:dyDescent="0.2">
      <c r="A90" s="13" t="s">
        <v>528</v>
      </c>
      <c r="B90" s="6" t="s">
        <v>676</v>
      </c>
      <c r="C90" s="6" t="s">
        <v>761</v>
      </c>
      <c r="D90" s="6" t="s">
        <v>853</v>
      </c>
      <c r="E90" s="6" t="s">
        <v>944</v>
      </c>
      <c r="F90" s="6" t="s">
        <v>1031</v>
      </c>
      <c r="G90" s="6" t="s">
        <v>853</v>
      </c>
      <c r="H90" s="6" t="s">
        <v>1200</v>
      </c>
      <c r="I90" s="6" t="s">
        <v>2797</v>
      </c>
      <c r="J90" s="6" t="s">
        <v>2698</v>
      </c>
      <c r="K90" s="6" t="s">
        <v>2595</v>
      </c>
      <c r="L90" s="6" t="s">
        <v>2490</v>
      </c>
      <c r="M90" s="6" t="s">
        <v>3648</v>
      </c>
      <c r="N90" s="6" t="s">
        <v>3541</v>
      </c>
    </row>
    <row r="91" spans="1:14" x14ac:dyDescent="0.2">
      <c r="A91" s="13" t="s">
        <v>529</v>
      </c>
      <c r="B91" s="6" t="s">
        <v>1823</v>
      </c>
      <c r="C91" s="6" t="s">
        <v>762</v>
      </c>
      <c r="D91" s="6" t="s">
        <v>854</v>
      </c>
      <c r="E91" s="6" t="s">
        <v>945</v>
      </c>
      <c r="F91" s="6" t="s">
        <v>1032</v>
      </c>
      <c r="G91" s="6" t="s">
        <v>1117</v>
      </c>
      <c r="H91" s="6" t="s">
        <v>1201</v>
      </c>
      <c r="I91" s="6" t="s">
        <v>2798</v>
      </c>
      <c r="J91" s="6" t="s">
        <v>2699</v>
      </c>
      <c r="K91" s="6" t="s">
        <v>2596</v>
      </c>
      <c r="L91" s="6" t="s">
        <v>2491</v>
      </c>
      <c r="M91" s="6" t="s">
        <v>3649</v>
      </c>
      <c r="N91" s="6" t="s">
        <v>3542</v>
      </c>
    </row>
    <row r="92" spans="1:14" x14ac:dyDescent="0.2">
      <c r="A92" s="13" t="s">
        <v>530</v>
      </c>
      <c r="B92" s="6" t="s">
        <v>677</v>
      </c>
      <c r="C92" s="6" t="s">
        <v>763</v>
      </c>
      <c r="D92" s="6" t="s">
        <v>855</v>
      </c>
      <c r="E92" s="6" t="s">
        <v>946</v>
      </c>
      <c r="F92" s="6" t="s">
        <v>1033</v>
      </c>
      <c r="G92" s="6" t="s">
        <v>1118</v>
      </c>
      <c r="H92" s="6" t="s">
        <v>1202</v>
      </c>
      <c r="I92" s="6" t="s">
        <v>2799</v>
      </c>
      <c r="J92" s="6" t="s">
        <v>2700</v>
      </c>
      <c r="K92" s="6" t="s">
        <v>2597</v>
      </c>
      <c r="L92" s="6" t="s">
        <v>2492</v>
      </c>
      <c r="M92" s="6" t="s">
        <v>3650</v>
      </c>
      <c r="N92" s="6" t="s">
        <v>3543</v>
      </c>
    </row>
    <row r="93" spans="1:14" x14ac:dyDescent="0.2">
      <c r="A93" s="13" t="s">
        <v>531</v>
      </c>
      <c r="B93" s="6" t="s">
        <v>678</v>
      </c>
      <c r="C93" s="6" t="s">
        <v>764</v>
      </c>
      <c r="D93" s="6" t="s">
        <v>856</v>
      </c>
      <c r="E93" s="6" t="s">
        <v>531</v>
      </c>
      <c r="F93" s="6" t="s">
        <v>1034</v>
      </c>
      <c r="G93" s="6" t="s">
        <v>1119</v>
      </c>
      <c r="H93" s="6" t="s">
        <v>1203</v>
      </c>
      <c r="I93" s="6" t="s">
        <v>2800</v>
      </c>
      <c r="J93" s="6" t="s">
        <v>2701</v>
      </c>
      <c r="K93" s="6" t="s">
        <v>2598</v>
      </c>
      <c r="L93" s="6" t="s">
        <v>2493</v>
      </c>
      <c r="M93" s="6" t="s">
        <v>3651</v>
      </c>
      <c r="N93" s="6" t="s">
        <v>2800</v>
      </c>
    </row>
    <row r="94" spans="1:14" x14ac:dyDescent="0.2">
      <c r="A94" s="13" t="s">
        <v>33</v>
      </c>
      <c r="B94" s="6" t="s">
        <v>679</v>
      </c>
      <c r="C94" s="6" t="s">
        <v>765</v>
      </c>
      <c r="D94" s="6" t="s">
        <v>857</v>
      </c>
      <c r="E94" s="6" t="s">
        <v>947</v>
      </c>
      <c r="F94" s="6" t="s">
        <v>1035</v>
      </c>
      <c r="G94" s="6" t="s">
        <v>1120</v>
      </c>
      <c r="H94" s="6" t="s">
        <v>1204</v>
      </c>
      <c r="I94" s="6" t="s">
        <v>2801</v>
      </c>
      <c r="J94" s="6" t="s">
        <v>2702</v>
      </c>
      <c r="K94" s="6" t="s">
        <v>2599</v>
      </c>
      <c r="L94" s="6" t="s">
        <v>2494</v>
      </c>
      <c r="M94" s="6" t="s">
        <v>3652</v>
      </c>
      <c r="N94" s="6" t="s">
        <v>3544</v>
      </c>
    </row>
    <row r="95" spans="1:14" x14ac:dyDescent="0.2">
      <c r="A95" s="13" t="s">
        <v>532</v>
      </c>
      <c r="B95" s="6" t="s">
        <v>680</v>
      </c>
      <c r="C95" s="6" t="s">
        <v>766</v>
      </c>
      <c r="D95" s="6" t="s">
        <v>858</v>
      </c>
      <c r="E95" s="6" t="s">
        <v>948</v>
      </c>
      <c r="F95" s="6" t="s">
        <v>1036</v>
      </c>
      <c r="G95" s="6" t="s">
        <v>1121</v>
      </c>
      <c r="H95" s="6" t="s">
        <v>1205</v>
      </c>
      <c r="I95" s="6" t="s">
        <v>2802</v>
      </c>
      <c r="J95" s="6" t="s">
        <v>2703</v>
      </c>
      <c r="K95" s="6" t="s">
        <v>2600</v>
      </c>
      <c r="L95" s="6" t="s">
        <v>2495</v>
      </c>
      <c r="M95" s="6" t="s">
        <v>3653</v>
      </c>
      <c r="N95" s="6" t="s">
        <v>3545</v>
      </c>
    </row>
    <row r="96" spans="1:14" x14ac:dyDescent="0.2">
      <c r="A96" s="13" t="s">
        <v>533</v>
      </c>
      <c r="B96" s="6" t="s">
        <v>681</v>
      </c>
      <c r="C96" s="6" t="s">
        <v>767</v>
      </c>
      <c r="D96" s="6" t="s">
        <v>859</v>
      </c>
      <c r="E96" s="6" t="s">
        <v>949</v>
      </c>
      <c r="F96" s="6" t="s">
        <v>1037</v>
      </c>
      <c r="G96" s="6" t="s">
        <v>1122</v>
      </c>
      <c r="H96" s="6" t="s">
        <v>1206</v>
      </c>
      <c r="I96" s="6" t="s">
        <v>2803</v>
      </c>
      <c r="J96" s="6" t="s">
        <v>2704</v>
      </c>
      <c r="K96" s="6" t="s">
        <v>2601</v>
      </c>
      <c r="L96" s="6" t="s">
        <v>2496</v>
      </c>
      <c r="M96" s="6" t="s">
        <v>3654</v>
      </c>
      <c r="N96" s="6" t="s">
        <v>3546</v>
      </c>
    </row>
    <row r="97" spans="1:14" x14ac:dyDescent="0.2">
      <c r="A97" s="13" t="s">
        <v>534</v>
      </c>
      <c r="B97" s="6" t="s">
        <v>2209</v>
      </c>
      <c r="C97" s="6" t="s">
        <v>768</v>
      </c>
      <c r="D97" s="6" t="s">
        <v>860</v>
      </c>
      <c r="E97" s="6" t="s">
        <v>950</v>
      </c>
      <c r="F97" s="6" t="s">
        <v>1038</v>
      </c>
      <c r="G97" s="6" t="s">
        <v>1123</v>
      </c>
      <c r="H97" s="6" t="s">
        <v>1207</v>
      </c>
      <c r="I97" s="6" t="s">
        <v>2804</v>
      </c>
      <c r="J97" s="6" t="s">
        <v>2705</v>
      </c>
      <c r="K97" s="6" t="s">
        <v>2602</v>
      </c>
      <c r="L97" s="6" t="s">
        <v>2497</v>
      </c>
      <c r="M97" s="6" t="s">
        <v>3655</v>
      </c>
      <c r="N97" s="6" t="s">
        <v>2804</v>
      </c>
    </row>
    <row r="98" spans="1:14" x14ac:dyDescent="0.2">
      <c r="A98" s="13" t="s">
        <v>535</v>
      </c>
      <c r="B98" s="6" t="s">
        <v>2210</v>
      </c>
      <c r="C98" s="6" t="s">
        <v>769</v>
      </c>
      <c r="D98" s="6" t="s">
        <v>861</v>
      </c>
      <c r="E98" s="6" t="s">
        <v>951</v>
      </c>
      <c r="F98" s="6" t="s">
        <v>1039</v>
      </c>
      <c r="G98" s="6" t="s">
        <v>1124</v>
      </c>
      <c r="H98" s="6" t="s">
        <v>1208</v>
      </c>
      <c r="I98" s="6" t="s">
        <v>2805</v>
      </c>
      <c r="J98" s="6" t="s">
        <v>2706</v>
      </c>
      <c r="K98" s="6" t="s">
        <v>2603</v>
      </c>
      <c r="L98" s="6" t="s">
        <v>2498</v>
      </c>
      <c r="M98" s="6" t="s">
        <v>3656</v>
      </c>
      <c r="N98" s="6" t="s">
        <v>3547</v>
      </c>
    </row>
    <row r="99" spans="1:14" x14ac:dyDescent="0.2">
      <c r="A99" s="13" t="s">
        <v>536</v>
      </c>
      <c r="B99" s="6" t="s">
        <v>682</v>
      </c>
      <c r="C99" s="6" t="s">
        <v>770</v>
      </c>
      <c r="D99" s="6" t="s">
        <v>862</v>
      </c>
      <c r="E99" s="6" t="s">
        <v>952</v>
      </c>
      <c r="F99" s="6" t="s">
        <v>1040</v>
      </c>
      <c r="G99" s="6" t="s">
        <v>1125</v>
      </c>
      <c r="H99" s="6" t="s">
        <v>1209</v>
      </c>
      <c r="I99" s="6" t="s">
        <v>2806</v>
      </c>
      <c r="J99" s="6" t="s">
        <v>2707</v>
      </c>
      <c r="K99" s="6" t="s">
        <v>2604</v>
      </c>
      <c r="L99" s="6" t="s">
        <v>2499</v>
      </c>
      <c r="M99" s="6" t="s">
        <v>3657</v>
      </c>
      <c r="N99" s="6" t="s">
        <v>3548</v>
      </c>
    </row>
    <row r="100" spans="1:14" x14ac:dyDescent="0.2">
      <c r="A100" s="13" t="s">
        <v>31</v>
      </c>
      <c r="B100" s="6" t="s">
        <v>683</v>
      </c>
      <c r="C100" s="6" t="s">
        <v>771</v>
      </c>
      <c r="D100" s="6" t="s">
        <v>863</v>
      </c>
      <c r="E100" s="6" t="s">
        <v>953</v>
      </c>
      <c r="F100" s="6" t="s">
        <v>1041</v>
      </c>
      <c r="G100" s="6" t="s">
        <v>1126</v>
      </c>
      <c r="H100" s="6" t="s">
        <v>1210</v>
      </c>
      <c r="I100" s="6" t="s">
        <v>2807</v>
      </c>
      <c r="J100" s="6" t="s">
        <v>2708</v>
      </c>
      <c r="K100" s="6" t="s">
        <v>2605</v>
      </c>
      <c r="L100" s="6" t="s">
        <v>2500</v>
      </c>
      <c r="M100" s="6" t="s">
        <v>3658</v>
      </c>
      <c r="N100" s="6" t="s">
        <v>3549</v>
      </c>
    </row>
    <row r="101" spans="1:14" x14ac:dyDescent="0.2">
      <c r="A101" s="13" t="s">
        <v>282</v>
      </c>
      <c r="B101" s="6" t="s">
        <v>684</v>
      </c>
      <c r="C101" s="6" t="s">
        <v>772</v>
      </c>
      <c r="D101" s="6" t="s">
        <v>283</v>
      </c>
      <c r="E101" s="6" t="s">
        <v>284</v>
      </c>
      <c r="F101" s="6" t="s">
        <v>285</v>
      </c>
      <c r="G101" s="6" t="s">
        <v>286</v>
      </c>
      <c r="H101" s="6" t="s">
        <v>287</v>
      </c>
      <c r="I101" s="6" t="s">
        <v>2808</v>
      </c>
      <c r="J101" s="6" t="s">
        <v>2709</v>
      </c>
      <c r="K101" s="6" t="s">
        <v>2606</v>
      </c>
      <c r="L101" s="6" t="s">
        <v>2501</v>
      </c>
      <c r="M101" s="6" t="s">
        <v>3659</v>
      </c>
      <c r="N101" s="6" t="s">
        <v>3550</v>
      </c>
    </row>
    <row r="102" spans="1:14" x14ac:dyDescent="0.2">
      <c r="A102" s="13" t="s">
        <v>537</v>
      </c>
      <c r="B102" s="6" t="s">
        <v>685</v>
      </c>
      <c r="C102" s="6" t="s">
        <v>773</v>
      </c>
      <c r="D102" s="6" t="s">
        <v>864</v>
      </c>
      <c r="E102" s="6" t="s">
        <v>954</v>
      </c>
      <c r="F102" s="6" t="s">
        <v>1042</v>
      </c>
      <c r="G102" s="6" t="s">
        <v>1127</v>
      </c>
      <c r="H102" s="6" t="s">
        <v>1211</v>
      </c>
      <c r="I102" s="6" t="s">
        <v>2809</v>
      </c>
      <c r="J102" s="6" t="s">
        <v>2710</v>
      </c>
      <c r="K102" s="6" t="s">
        <v>2607</v>
      </c>
      <c r="L102" s="6" t="s">
        <v>2502</v>
      </c>
      <c r="M102" s="6" t="s">
        <v>3660</v>
      </c>
      <c r="N102" s="6" t="s">
        <v>3551</v>
      </c>
    </row>
    <row r="103" spans="1:14" x14ac:dyDescent="0.2">
      <c r="A103" s="13" t="s">
        <v>538</v>
      </c>
      <c r="B103" s="6" t="s">
        <v>2200</v>
      </c>
      <c r="C103" s="6" t="s">
        <v>774</v>
      </c>
      <c r="D103" s="6" t="s">
        <v>865</v>
      </c>
      <c r="E103" s="6" t="s">
        <v>955</v>
      </c>
      <c r="F103" s="6" t="s">
        <v>1043</v>
      </c>
      <c r="G103" s="6" t="s">
        <v>1128</v>
      </c>
      <c r="H103" s="6" t="s">
        <v>1212</v>
      </c>
      <c r="I103" s="6" t="s">
        <v>2810</v>
      </c>
      <c r="J103" s="6" t="s">
        <v>2711</v>
      </c>
      <c r="K103" s="6" t="s">
        <v>2608</v>
      </c>
      <c r="L103" s="6" t="s">
        <v>2503</v>
      </c>
      <c r="M103" s="6" t="s">
        <v>3661</v>
      </c>
      <c r="N103" s="6" t="s">
        <v>3552</v>
      </c>
    </row>
    <row r="104" spans="1:14" x14ac:dyDescent="0.2">
      <c r="A104" s="13" t="s">
        <v>539</v>
      </c>
      <c r="B104" s="6" t="s">
        <v>686</v>
      </c>
      <c r="C104" s="6" t="s">
        <v>775</v>
      </c>
      <c r="D104" s="6" t="s">
        <v>866</v>
      </c>
      <c r="E104" s="6" t="s">
        <v>956</v>
      </c>
      <c r="F104" s="6" t="s">
        <v>1044</v>
      </c>
      <c r="G104" s="6" t="s">
        <v>1129</v>
      </c>
      <c r="H104" s="6" t="s">
        <v>1213</v>
      </c>
      <c r="I104" s="6" t="s">
        <v>2811</v>
      </c>
      <c r="J104" s="6" t="s">
        <v>2712</v>
      </c>
      <c r="K104" s="6" t="s">
        <v>2609</v>
      </c>
      <c r="L104" s="6" t="s">
        <v>2504</v>
      </c>
      <c r="M104" s="6" t="s">
        <v>3662</v>
      </c>
      <c r="N104" s="6" t="s">
        <v>3553</v>
      </c>
    </row>
    <row r="105" spans="1:14" x14ac:dyDescent="0.2">
      <c r="A105" s="13" t="s">
        <v>540</v>
      </c>
      <c r="B105" s="6" t="s">
        <v>687</v>
      </c>
      <c r="C105" s="6" t="s">
        <v>776</v>
      </c>
      <c r="D105" s="6" t="s">
        <v>867</v>
      </c>
      <c r="E105" s="6" t="s">
        <v>957</v>
      </c>
      <c r="F105" s="6" t="s">
        <v>1045</v>
      </c>
      <c r="G105" s="6" t="s">
        <v>1130</v>
      </c>
      <c r="H105" s="6" t="s">
        <v>1214</v>
      </c>
      <c r="I105" s="6" t="s">
        <v>2812</v>
      </c>
      <c r="J105" s="6" t="s">
        <v>2713</v>
      </c>
      <c r="K105" s="6" t="s">
        <v>2610</v>
      </c>
      <c r="L105" s="6" t="s">
        <v>2505</v>
      </c>
      <c r="M105" s="6" t="s">
        <v>3663</v>
      </c>
      <c r="N105" s="6" t="s">
        <v>3554</v>
      </c>
    </row>
    <row r="106" spans="1:14" x14ac:dyDescent="0.2">
      <c r="A106" s="13" t="s">
        <v>34</v>
      </c>
      <c r="B106" s="6" t="s">
        <v>688</v>
      </c>
      <c r="C106" s="6" t="s">
        <v>777</v>
      </c>
      <c r="D106" s="6" t="s">
        <v>868</v>
      </c>
      <c r="E106" s="6" t="s">
        <v>958</v>
      </c>
      <c r="F106" s="6" t="s">
        <v>1046</v>
      </c>
      <c r="G106" s="6" t="s">
        <v>1131</v>
      </c>
      <c r="H106" s="6" t="s">
        <v>1215</v>
      </c>
      <c r="I106" s="6" t="s">
        <v>2813</v>
      </c>
      <c r="J106" s="6" t="s">
        <v>2714</v>
      </c>
      <c r="K106" s="6" t="s">
        <v>2611</v>
      </c>
      <c r="L106" s="6" t="s">
        <v>2506</v>
      </c>
      <c r="M106" s="6" t="s">
        <v>3664</v>
      </c>
      <c r="N106" s="6" t="s">
        <v>3555</v>
      </c>
    </row>
    <row r="107" spans="1:14" x14ac:dyDescent="0.2">
      <c r="A107" s="13" t="s">
        <v>541</v>
      </c>
      <c r="B107" s="6" t="s">
        <v>689</v>
      </c>
      <c r="C107" s="6" t="s">
        <v>778</v>
      </c>
      <c r="D107" s="6" t="s">
        <v>869</v>
      </c>
      <c r="E107" s="6" t="s">
        <v>959</v>
      </c>
      <c r="F107" s="6" t="s">
        <v>1047</v>
      </c>
      <c r="G107" s="6" t="s">
        <v>1132</v>
      </c>
      <c r="H107" s="6" t="s">
        <v>1216</v>
      </c>
      <c r="I107" s="6" t="s">
        <v>2814</v>
      </c>
      <c r="J107" s="6" t="s">
        <v>2715</v>
      </c>
      <c r="K107" s="6" t="s">
        <v>2612</v>
      </c>
      <c r="L107" s="6" t="s">
        <v>2507</v>
      </c>
      <c r="M107" s="6" t="s">
        <v>3665</v>
      </c>
      <c r="N107" s="6" t="s">
        <v>3556</v>
      </c>
    </row>
    <row r="108" spans="1:14" x14ac:dyDescent="0.2">
      <c r="A108" s="13" t="s">
        <v>542</v>
      </c>
      <c r="B108" s="6" t="s">
        <v>690</v>
      </c>
      <c r="C108" s="6" t="s">
        <v>779</v>
      </c>
      <c r="D108" s="6" t="s">
        <v>870</v>
      </c>
      <c r="E108" s="6" t="s">
        <v>960</v>
      </c>
      <c r="F108" s="6" t="s">
        <v>1048</v>
      </c>
      <c r="G108" s="6" t="s">
        <v>1133</v>
      </c>
      <c r="H108" s="6" t="s">
        <v>1217</v>
      </c>
      <c r="I108" s="6" t="s">
        <v>2815</v>
      </c>
      <c r="J108" s="6" t="s">
        <v>2716</v>
      </c>
      <c r="K108" s="6" t="s">
        <v>2613</v>
      </c>
      <c r="L108" s="6" t="s">
        <v>2508</v>
      </c>
      <c r="M108" s="6" t="s">
        <v>3666</v>
      </c>
      <c r="N108" s="6" t="s">
        <v>2815</v>
      </c>
    </row>
    <row r="109" spans="1:14" x14ac:dyDescent="0.2">
      <c r="A109" s="13" t="s">
        <v>1851</v>
      </c>
      <c r="B109" s="6" t="s">
        <v>1896</v>
      </c>
      <c r="C109" s="6" t="s">
        <v>1937</v>
      </c>
      <c r="D109" s="6" t="s">
        <v>1982</v>
      </c>
      <c r="E109" s="6" t="s">
        <v>2027</v>
      </c>
      <c r="F109" s="6" t="s">
        <v>2072</v>
      </c>
      <c r="G109" s="6" t="s">
        <v>2116</v>
      </c>
      <c r="H109" s="6" t="s">
        <v>2161</v>
      </c>
      <c r="I109" s="6" t="s">
        <v>2816</v>
      </c>
      <c r="J109" s="6" t="s">
        <v>2717</v>
      </c>
      <c r="K109" s="6" t="s">
        <v>2614</v>
      </c>
      <c r="L109" s="6" t="s">
        <v>2509</v>
      </c>
      <c r="M109" s="6" t="s">
        <v>3667</v>
      </c>
      <c r="N109" s="6" t="s">
        <v>3557</v>
      </c>
    </row>
    <row r="110" spans="1:14" x14ac:dyDescent="0.2">
      <c r="A110" s="13" t="s">
        <v>543</v>
      </c>
      <c r="B110" s="6" t="s">
        <v>691</v>
      </c>
      <c r="C110" s="6" t="s">
        <v>780</v>
      </c>
      <c r="D110" s="6" t="s">
        <v>871</v>
      </c>
      <c r="E110" s="6" t="s">
        <v>961</v>
      </c>
      <c r="F110" s="6" t="s">
        <v>1049</v>
      </c>
      <c r="G110" s="6" t="s">
        <v>1134</v>
      </c>
      <c r="H110" s="6" t="s">
        <v>1218</v>
      </c>
      <c r="I110" s="6" t="s">
        <v>2817</v>
      </c>
      <c r="J110" s="6" t="s">
        <v>2718</v>
      </c>
      <c r="K110" s="6" t="s">
        <v>2615</v>
      </c>
      <c r="L110" s="6" t="s">
        <v>2510</v>
      </c>
      <c r="M110" s="6" t="s">
        <v>3668</v>
      </c>
      <c r="N110" s="6" t="s">
        <v>3558</v>
      </c>
    </row>
    <row r="111" spans="1:14" x14ac:dyDescent="0.2">
      <c r="A111" s="13" t="s">
        <v>544</v>
      </c>
      <c r="B111" s="6" t="s">
        <v>692</v>
      </c>
      <c r="C111" s="6" t="s">
        <v>781</v>
      </c>
      <c r="D111" s="6" t="s">
        <v>872</v>
      </c>
      <c r="E111" s="6" t="s">
        <v>962</v>
      </c>
      <c r="F111" s="6" t="s">
        <v>1050</v>
      </c>
      <c r="G111" s="6" t="s">
        <v>1135</v>
      </c>
      <c r="H111" s="6" t="s">
        <v>1219</v>
      </c>
      <c r="I111" s="6" t="s">
        <v>2818</v>
      </c>
      <c r="J111" s="6" t="s">
        <v>2943</v>
      </c>
      <c r="K111" s="6" t="s">
        <v>3068</v>
      </c>
      <c r="L111" s="6" t="s">
        <v>3195</v>
      </c>
      <c r="M111" s="6" t="s">
        <v>3669</v>
      </c>
      <c r="N111" s="6" t="s">
        <v>3791</v>
      </c>
    </row>
    <row r="112" spans="1:14" x14ac:dyDescent="0.2">
      <c r="A112" s="13" t="s">
        <v>8</v>
      </c>
      <c r="B112" s="6" t="s">
        <v>693</v>
      </c>
      <c r="C112" s="6" t="s">
        <v>782</v>
      </c>
      <c r="D112" s="6" t="s">
        <v>873</v>
      </c>
      <c r="E112" s="6" t="s">
        <v>963</v>
      </c>
      <c r="F112" s="6" t="s">
        <v>1051</v>
      </c>
      <c r="G112" s="6" t="s">
        <v>1136</v>
      </c>
      <c r="H112" s="6" t="s">
        <v>1220</v>
      </c>
      <c r="I112" s="6" t="s">
        <v>2819</v>
      </c>
      <c r="J112" s="6" t="s">
        <v>2944</v>
      </c>
      <c r="K112" s="6" t="s">
        <v>3069</v>
      </c>
      <c r="L112" s="6" t="s">
        <v>3196</v>
      </c>
      <c r="M112" s="6" t="s">
        <v>3670</v>
      </c>
      <c r="N112" s="6" t="s">
        <v>3792</v>
      </c>
    </row>
    <row r="113" spans="1:14" x14ac:dyDescent="0.2">
      <c r="A113" s="13" t="s">
        <v>545</v>
      </c>
      <c r="B113" s="6" t="s">
        <v>694</v>
      </c>
      <c r="C113" s="6" t="s">
        <v>783</v>
      </c>
      <c r="D113" s="6" t="s">
        <v>874</v>
      </c>
      <c r="E113" s="6" t="s">
        <v>964</v>
      </c>
      <c r="F113" s="6" t="s">
        <v>1052</v>
      </c>
      <c r="G113" s="6" t="s">
        <v>1137</v>
      </c>
      <c r="H113" s="6" t="s">
        <v>1221</v>
      </c>
      <c r="I113" s="6" t="s">
        <v>2820</v>
      </c>
      <c r="J113" s="6" t="s">
        <v>2945</v>
      </c>
      <c r="K113" s="6" t="s">
        <v>3070</v>
      </c>
      <c r="L113" s="6" t="s">
        <v>3197</v>
      </c>
      <c r="M113" s="6" t="s">
        <v>3671</v>
      </c>
      <c r="N113" s="6" t="s">
        <v>3793</v>
      </c>
    </row>
    <row r="114" spans="1:14" x14ac:dyDescent="0.2">
      <c r="A114" s="13" t="s">
        <v>546</v>
      </c>
      <c r="B114" s="6" t="s">
        <v>695</v>
      </c>
      <c r="C114" s="6" t="s">
        <v>784</v>
      </c>
      <c r="D114" s="6" t="s">
        <v>875</v>
      </c>
      <c r="E114" s="6" t="s">
        <v>965</v>
      </c>
      <c r="F114" s="6" t="s">
        <v>1053</v>
      </c>
      <c r="G114" s="6" t="s">
        <v>1138</v>
      </c>
      <c r="H114" s="6" t="s">
        <v>1222</v>
      </c>
      <c r="I114" s="6" t="s">
        <v>2821</v>
      </c>
      <c r="J114" s="6" t="s">
        <v>2946</v>
      </c>
      <c r="K114" s="6" t="s">
        <v>3071</v>
      </c>
      <c r="L114" s="6" t="s">
        <v>3198</v>
      </c>
      <c r="M114" s="6" t="s">
        <v>3672</v>
      </c>
      <c r="N114" s="6" t="s">
        <v>3794</v>
      </c>
    </row>
    <row r="115" spans="1:14" x14ac:dyDescent="0.2">
      <c r="A115" s="13" t="s">
        <v>547</v>
      </c>
      <c r="B115" s="6" t="s">
        <v>696</v>
      </c>
      <c r="C115" s="6" t="s">
        <v>785</v>
      </c>
      <c r="D115" s="6" t="s">
        <v>876</v>
      </c>
      <c r="E115" s="6" t="s">
        <v>966</v>
      </c>
      <c r="F115" s="6" t="s">
        <v>1054</v>
      </c>
      <c r="G115" s="6" t="s">
        <v>966</v>
      </c>
      <c r="H115" s="6" t="s">
        <v>1223</v>
      </c>
      <c r="I115" s="6" t="s">
        <v>2822</v>
      </c>
      <c r="J115" s="6" t="s">
        <v>2947</v>
      </c>
      <c r="K115" s="6" t="s">
        <v>3072</v>
      </c>
      <c r="L115" s="6" t="s">
        <v>3199</v>
      </c>
      <c r="M115" s="6" t="s">
        <v>3673</v>
      </c>
      <c r="N115" s="6" t="s">
        <v>2822</v>
      </c>
    </row>
    <row r="116" spans="1:14" x14ac:dyDescent="0.2">
      <c r="A116" s="13" t="s">
        <v>15</v>
      </c>
      <c r="B116" s="6" t="s">
        <v>1842</v>
      </c>
      <c r="C116" s="6" t="s">
        <v>786</v>
      </c>
      <c r="D116" s="6" t="s">
        <v>877</v>
      </c>
      <c r="E116" s="6" t="s">
        <v>967</v>
      </c>
      <c r="F116" s="6" t="s">
        <v>1055</v>
      </c>
      <c r="G116" s="6" t="s">
        <v>877</v>
      </c>
      <c r="H116" s="6" t="s">
        <v>1224</v>
      </c>
      <c r="I116" s="6" t="s">
        <v>2823</v>
      </c>
      <c r="J116" s="6" t="s">
        <v>2948</v>
      </c>
      <c r="K116" s="6" t="s">
        <v>3073</v>
      </c>
      <c r="L116" s="6" t="s">
        <v>3200</v>
      </c>
      <c r="M116" s="6" t="s">
        <v>2948</v>
      </c>
      <c r="N116" s="6" t="s">
        <v>2823</v>
      </c>
    </row>
    <row r="117" spans="1:14" x14ac:dyDescent="0.2">
      <c r="A117" s="13" t="s">
        <v>25</v>
      </c>
      <c r="B117" s="6" t="s">
        <v>697</v>
      </c>
      <c r="C117" s="6" t="s">
        <v>787</v>
      </c>
      <c r="D117" s="6" t="s">
        <v>878</v>
      </c>
      <c r="E117" s="6" t="s">
        <v>968</v>
      </c>
      <c r="F117" s="6" t="s">
        <v>1056</v>
      </c>
      <c r="G117" s="6" t="s">
        <v>1139</v>
      </c>
      <c r="H117" s="6" t="s">
        <v>1225</v>
      </c>
      <c r="I117" s="6" t="s">
        <v>2824</v>
      </c>
      <c r="J117" s="6" t="s">
        <v>2949</v>
      </c>
      <c r="K117" s="6" t="s">
        <v>3074</v>
      </c>
      <c r="L117" s="6" t="s">
        <v>3201</v>
      </c>
      <c r="M117" s="6" t="s">
        <v>3674</v>
      </c>
      <c r="N117" s="6" t="s">
        <v>3795</v>
      </c>
    </row>
    <row r="118" spans="1:14" x14ac:dyDescent="0.2">
      <c r="A118" s="13" t="s">
        <v>2201</v>
      </c>
      <c r="B118" s="6" t="s">
        <v>2206</v>
      </c>
      <c r="C118" s="6" t="s">
        <v>2205</v>
      </c>
      <c r="D118" s="6" t="s">
        <v>2201</v>
      </c>
      <c r="E118" s="6" t="s">
        <v>2201</v>
      </c>
      <c r="F118" s="6" t="s">
        <v>2204</v>
      </c>
      <c r="G118" s="6" t="s">
        <v>2203</v>
      </c>
      <c r="H118" s="6" t="s">
        <v>2202</v>
      </c>
      <c r="I118" s="6" t="s">
        <v>2825</v>
      </c>
      <c r="J118" s="6" t="s">
        <v>2950</v>
      </c>
      <c r="K118" s="6" t="s">
        <v>3075</v>
      </c>
      <c r="L118" s="6" t="s">
        <v>3202</v>
      </c>
      <c r="M118" s="6" t="s">
        <v>3675</v>
      </c>
      <c r="N118" s="6" t="s">
        <v>3796</v>
      </c>
    </row>
    <row r="119" spans="1:14" x14ac:dyDescent="0.2">
      <c r="A119" s="13" t="s">
        <v>106</v>
      </c>
      <c r="B119" s="6" t="s">
        <v>107</v>
      </c>
      <c r="C119" s="6" t="s">
        <v>108</v>
      </c>
      <c r="D119" s="6" t="s">
        <v>109</v>
      </c>
      <c r="E119" s="6" t="s">
        <v>110</v>
      </c>
      <c r="F119" s="6" t="s">
        <v>111</v>
      </c>
      <c r="G119" s="6" t="s">
        <v>112</v>
      </c>
      <c r="H119" s="6" t="s">
        <v>113</v>
      </c>
      <c r="I119" s="6" t="s">
        <v>2826</v>
      </c>
      <c r="J119" s="6" t="s">
        <v>2951</v>
      </c>
      <c r="K119" s="6" t="s">
        <v>3076</v>
      </c>
      <c r="L119" s="6" t="s">
        <v>3203</v>
      </c>
      <c r="M119" s="6" t="s">
        <v>2951</v>
      </c>
      <c r="N119" s="6" t="s">
        <v>2826</v>
      </c>
    </row>
    <row r="120" spans="1:14" x14ac:dyDescent="0.2">
      <c r="A120" s="13" t="s">
        <v>548</v>
      </c>
      <c r="B120" s="6" t="s">
        <v>1828</v>
      </c>
      <c r="C120" s="6" t="s">
        <v>788</v>
      </c>
      <c r="D120" s="6" t="s">
        <v>879</v>
      </c>
      <c r="E120" s="6" t="s">
        <v>969</v>
      </c>
      <c r="F120" s="6" t="s">
        <v>1057</v>
      </c>
      <c r="G120" s="6" t="s">
        <v>1140</v>
      </c>
      <c r="H120" s="6" t="s">
        <v>1226</v>
      </c>
      <c r="I120" s="6" t="s">
        <v>2827</v>
      </c>
      <c r="J120" s="6" t="s">
        <v>2952</v>
      </c>
      <c r="K120" s="6" t="s">
        <v>3077</v>
      </c>
      <c r="L120" s="6" t="s">
        <v>3204</v>
      </c>
      <c r="M120" s="6" t="s">
        <v>3676</v>
      </c>
      <c r="N120" s="6" t="s">
        <v>3797</v>
      </c>
    </row>
    <row r="121" spans="1:14" x14ac:dyDescent="0.2">
      <c r="A121" s="13" t="s">
        <v>549</v>
      </c>
      <c r="B121" s="6" t="s">
        <v>698</v>
      </c>
      <c r="C121" s="6" t="s">
        <v>789</v>
      </c>
      <c r="D121" s="6" t="s">
        <v>880</v>
      </c>
      <c r="E121" s="6" t="s">
        <v>549</v>
      </c>
      <c r="F121" s="6" t="s">
        <v>1058</v>
      </c>
      <c r="G121" s="6" t="s">
        <v>549</v>
      </c>
      <c r="H121" s="6" t="s">
        <v>1227</v>
      </c>
      <c r="I121" s="6" t="s">
        <v>2828</v>
      </c>
      <c r="J121" s="6" t="s">
        <v>2953</v>
      </c>
      <c r="K121" s="6" t="s">
        <v>3078</v>
      </c>
      <c r="L121" s="6" t="s">
        <v>3205</v>
      </c>
      <c r="M121" s="6" t="s">
        <v>3677</v>
      </c>
      <c r="N121" s="6" t="s">
        <v>2828</v>
      </c>
    </row>
    <row r="122" spans="1:14" x14ac:dyDescent="0.2">
      <c r="A122" s="13" t="s">
        <v>2212</v>
      </c>
      <c r="B122" s="6" t="s">
        <v>2218</v>
      </c>
      <c r="C122" s="6" t="s">
        <v>2225</v>
      </c>
      <c r="D122" s="6" t="s">
        <v>2232</v>
      </c>
      <c r="E122" s="6" t="s">
        <v>2239</v>
      </c>
      <c r="F122" s="6" t="s">
        <v>2246</v>
      </c>
      <c r="G122" s="6" t="s">
        <v>2253</v>
      </c>
      <c r="H122" s="6" t="s">
        <v>2260</v>
      </c>
      <c r="I122" s="6" t="s">
        <v>2829</v>
      </c>
      <c r="J122" s="6" t="s">
        <v>2954</v>
      </c>
      <c r="K122" s="6" t="s">
        <v>3079</v>
      </c>
      <c r="L122" s="6" t="s">
        <v>3206</v>
      </c>
      <c r="M122" s="6" t="s">
        <v>3678</v>
      </c>
      <c r="N122" s="6" t="s">
        <v>2829</v>
      </c>
    </row>
    <row r="123" spans="1:14" x14ac:dyDescent="0.2">
      <c r="A123" s="13" t="s">
        <v>550</v>
      </c>
      <c r="B123" s="6" t="s">
        <v>699</v>
      </c>
      <c r="C123" s="6" t="s">
        <v>790</v>
      </c>
      <c r="D123" s="6" t="s">
        <v>881</v>
      </c>
      <c r="E123" s="6" t="s">
        <v>970</v>
      </c>
      <c r="F123" s="6" t="s">
        <v>1059</v>
      </c>
      <c r="G123" s="6" t="s">
        <v>881</v>
      </c>
      <c r="H123" s="6" t="s">
        <v>1228</v>
      </c>
      <c r="I123" s="6" t="s">
        <v>2830</v>
      </c>
      <c r="J123" s="6" t="s">
        <v>2955</v>
      </c>
      <c r="K123" s="6" t="s">
        <v>3080</v>
      </c>
      <c r="L123" s="6" t="s">
        <v>3207</v>
      </c>
      <c r="M123" s="6" t="s">
        <v>3679</v>
      </c>
      <c r="N123" s="6" t="s">
        <v>2830</v>
      </c>
    </row>
    <row r="124" spans="1:14" x14ac:dyDescent="0.2">
      <c r="A124" s="13" t="s">
        <v>1864</v>
      </c>
      <c r="B124" s="6" t="s">
        <v>2199</v>
      </c>
      <c r="C124" s="6" t="s">
        <v>1950</v>
      </c>
      <c r="D124" s="6" t="s">
        <v>1995</v>
      </c>
      <c r="E124" s="6" t="s">
        <v>2040</v>
      </c>
      <c r="F124" s="6" t="s">
        <v>2085</v>
      </c>
      <c r="G124" s="6" t="s">
        <v>2129</v>
      </c>
      <c r="H124" s="6" t="s">
        <v>2174</v>
      </c>
      <c r="I124" s="6" t="s">
        <v>2831</v>
      </c>
      <c r="J124" s="6" t="s">
        <v>2956</v>
      </c>
      <c r="K124" s="6" t="s">
        <v>3081</v>
      </c>
      <c r="L124" s="6" t="s">
        <v>3208</v>
      </c>
      <c r="M124" s="6" t="s">
        <v>3680</v>
      </c>
      <c r="N124" s="6" t="s">
        <v>2831</v>
      </c>
    </row>
    <row r="125" spans="1:14" x14ac:dyDescent="0.2">
      <c r="A125" s="13" t="s">
        <v>551</v>
      </c>
      <c r="B125" s="6" t="s">
        <v>700</v>
      </c>
      <c r="C125" s="6" t="s">
        <v>791</v>
      </c>
      <c r="D125" s="6" t="s">
        <v>882</v>
      </c>
      <c r="E125" s="6" t="s">
        <v>971</v>
      </c>
      <c r="F125" s="6" t="s">
        <v>1060</v>
      </c>
      <c r="G125" s="6" t="s">
        <v>1141</v>
      </c>
      <c r="H125" s="6" t="s">
        <v>1229</v>
      </c>
      <c r="I125" s="6" t="s">
        <v>2832</v>
      </c>
      <c r="J125" s="6" t="s">
        <v>2957</v>
      </c>
      <c r="K125" s="6" t="s">
        <v>3082</v>
      </c>
      <c r="L125" s="6" t="s">
        <v>3209</v>
      </c>
      <c r="M125" s="6" t="s">
        <v>3681</v>
      </c>
      <c r="N125" s="6" t="s">
        <v>2832</v>
      </c>
    </row>
    <row r="126" spans="1:14" x14ac:dyDescent="0.2">
      <c r="A126" s="13" t="s">
        <v>337</v>
      </c>
      <c r="B126" s="6" t="s">
        <v>701</v>
      </c>
      <c r="C126" s="6" t="s">
        <v>792</v>
      </c>
      <c r="D126" s="6" t="s">
        <v>882</v>
      </c>
      <c r="E126" s="6" t="s">
        <v>971</v>
      </c>
      <c r="F126" s="6" t="s">
        <v>1060</v>
      </c>
      <c r="G126" s="6" t="s">
        <v>1142</v>
      </c>
      <c r="H126" s="6" t="s">
        <v>1230</v>
      </c>
      <c r="I126" s="6" t="s">
        <v>2832</v>
      </c>
      <c r="J126" s="6" t="s">
        <v>2957</v>
      </c>
      <c r="K126" s="6" t="s">
        <v>3082</v>
      </c>
      <c r="L126" s="6" t="s">
        <v>3210</v>
      </c>
      <c r="M126" s="6" t="s">
        <v>3682</v>
      </c>
      <c r="N126" s="6" t="s">
        <v>2832</v>
      </c>
    </row>
    <row r="127" spans="1:14" x14ac:dyDescent="0.2">
      <c r="A127" s="13" t="s">
        <v>18</v>
      </c>
      <c r="B127" s="6" t="s">
        <v>702</v>
      </c>
      <c r="C127" s="6" t="s">
        <v>793</v>
      </c>
      <c r="D127" s="6" t="s">
        <v>883</v>
      </c>
      <c r="E127" s="6" t="s">
        <v>972</v>
      </c>
      <c r="F127" s="6" t="s">
        <v>1061</v>
      </c>
      <c r="G127" s="6" t="s">
        <v>1143</v>
      </c>
      <c r="H127" s="6" t="s">
        <v>1231</v>
      </c>
      <c r="I127" s="6" t="s">
        <v>2833</v>
      </c>
      <c r="J127" s="6" t="s">
        <v>2958</v>
      </c>
      <c r="K127" s="6" t="s">
        <v>3083</v>
      </c>
      <c r="L127" s="6" t="s">
        <v>3211</v>
      </c>
      <c r="M127" s="6" t="s">
        <v>3683</v>
      </c>
      <c r="N127" s="6" t="s">
        <v>2833</v>
      </c>
    </row>
    <row r="128" spans="1:14" x14ac:dyDescent="0.2">
      <c r="A128" s="13" t="s">
        <v>552</v>
      </c>
      <c r="B128" s="6" t="s">
        <v>703</v>
      </c>
      <c r="C128" s="6" t="s">
        <v>794</v>
      </c>
      <c r="D128" s="6" t="s">
        <v>884</v>
      </c>
      <c r="E128" s="6" t="s">
        <v>973</v>
      </c>
      <c r="F128" s="6" t="s">
        <v>1062</v>
      </c>
      <c r="G128" s="6" t="s">
        <v>1144</v>
      </c>
      <c r="H128" s="6" t="s">
        <v>1232</v>
      </c>
      <c r="I128" s="6" t="s">
        <v>2834</v>
      </c>
      <c r="J128" s="6" t="s">
        <v>2959</v>
      </c>
      <c r="K128" s="6" t="s">
        <v>3084</v>
      </c>
      <c r="L128" s="6" t="s">
        <v>3212</v>
      </c>
      <c r="M128" s="6" t="s">
        <v>3684</v>
      </c>
      <c r="N128" s="6" t="s">
        <v>2834</v>
      </c>
    </row>
    <row r="129" spans="1:14" x14ac:dyDescent="0.2">
      <c r="A129" s="13" t="s">
        <v>553</v>
      </c>
      <c r="B129" s="6" t="s">
        <v>703</v>
      </c>
      <c r="C129" s="6" t="s">
        <v>794</v>
      </c>
      <c r="D129" s="6" t="s">
        <v>884</v>
      </c>
      <c r="E129" s="6" t="s">
        <v>973</v>
      </c>
      <c r="F129" s="6" t="s">
        <v>1062</v>
      </c>
      <c r="G129" s="6" t="s">
        <v>1145</v>
      </c>
      <c r="H129" s="6" t="s">
        <v>1232</v>
      </c>
      <c r="I129" s="6" t="s">
        <v>2834</v>
      </c>
      <c r="J129" s="6" t="s">
        <v>2959</v>
      </c>
      <c r="K129" s="6" t="s">
        <v>3084</v>
      </c>
      <c r="L129" s="6" t="s">
        <v>3213</v>
      </c>
      <c r="M129" s="6" t="s">
        <v>3684</v>
      </c>
      <c r="N129" s="6" t="s">
        <v>2834</v>
      </c>
    </row>
    <row r="130" spans="1:14" x14ac:dyDescent="0.2">
      <c r="A130" s="13" t="s">
        <v>554</v>
      </c>
      <c r="B130" s="6" t="s">
        <v>704</v>
      </c>
      <c r="C130" s="6" t="s">
        <v>794</v>
      </c>
      <c r="D130" s="6" t="s">
        <v>885</v>
      </c>
      <c r="E130" s="6" t="s">
        <v>974</v>
      </c>
      <c r="F130" s="6" t="s">
        <v>1063</v>
      </c>
      <c r="G130" s="6" t="s">
        <v>1146</v>
      </c>
      <c r="H130" s="6" t="s">
        <v>1233</v>
      </c>
      <c r="I130" s="6" t="s">
        <v>2834</v>
      </c>
      <c r="J130" s="6" t="s">
        <v>2960</v>
      </c>
      <c r="K130" s="6" t="s">
        <v>3085</v>
      </c>
      <c r="L130" s="6" t="s">
        <v>3214</v>
      </c>
      <c r="M130" s="6" t="s">
        <v>3684</v>
      </c>
      <c r="N130" s="6" t="s">
        <v>2834</v>
      </c>
    </row>
    <row r="131" spans="1:14" x14ac:dyDescent="0.2">
      <c r="A131" s="13" t="s">
        <v>1849</v>
      </c>
      <c r="B131" s="6" t="s">
        <v>1894</v>
      </c>
      <c r="C131" s="6" t="s">
        <v>1935</v>
      </c>
      <c r="D131" s="6" t="s">
        <v>1980</v>
      </c>
      <c r="E131" s="6" t="s">
        <v>2025</v>
      </c>
      <c r="F131" s="6" t="s">
        <v>2070</v>
      </c>
      <c r="G131" s="6" t="s">
        <v>2114</v>
      </c>
      <c r="H131" s="6" t="s">
        <v>2159</v>
      </c>
      <c r="I131" s="6" t="s">
        <v>2835</v>
      </c>
      <c r="J131" s="6" t="s">
        <v>2961</v>
      </c>
      <c r="K131" s="6" t="s">
        <v>3086</v>
      </c>
      <c r="L131" s="6" t="s">
        <v>3215</v>
      </c>
      <c r="M131" s="6" t="s">
        <v>3685</v>
      </c>
      <c r="N131" s="6" t="s">
        <v>3798</v>
      </c>
    </row>
    <row r="132" spans="1:14" x14ac:dyDescent="0.2">
      <c r="A132" s="13" t="s">
        <v>555</v>
      </c>
      <c r="B132" s="6" t="s">
        <v>705</v>
      </c>
      <c r="C132" s="6" t="s">
        <v>795</v>
      </c>
      <c r="D132" s="6" t="s">
        <v>886</v>
      </c>
      <c r="E132" s="6" t="s">
        <v>975</v>
      </c>
      <c r="F132" s="6" t="s">
        <v>1064</v>
      </c>
      <c r="G132" s="6" t="s">
        <v>1147</v>
      </c>
      <c r="H132" s="6" t="s">
        <v>1234</v>
      </c>
      <c r="I132" s="6" t="s">
        <v>2836</v>
      </c>
      <c r="J132" s="6" t="s">
        <v>2962</v>
      </c>
      <c r="K132" s="6" t="s">
        <v>3087</v>
      </c>
      <c r="L132" s="6" t="s">
        <v>3216</v>
      </c>
      <c r="M132" s="6" t="s">
        <v>3686</v>
      </c>
      <c r="N132" s="6" t="s">
        <v>3799</v>
      </c>
    </row>
    <row r="133" spans="1:14" x14ac:dyDescent="0.2">
      <c r="A133" s="13" t="s">
        <v>556</v>
      </c>
      <c r="B133" s="6" t="s">
        <v>706</v>
      </c>
      <c r="C133" s="6" t="s">
        <v>796</v>
      </c>
      <c r="D133" s="6" t="s">
        <v>887</v>
      </c>
      <c r="E133" s="6" t="s">
        <v>556</v>
      </c>
      <c r="F133" s="6" t="s">
        <v>1065</v>
      </c>
      <c r="G133" s="6" t="s">
        <v>556</v>
      </c>
      <c r="H133" s="6" t="s">
        <v>1235</v>
      </c>
      <c r="I133" s="6" t="s">
        <v>2837</v>
      </c>
      <c r="J133" s="6" t="s">
        <v>2963</v>
      </c>
      <c r="K133" s="6" t="s">
        <v>3088</v>
      </c>
      <c r="L133" s="6" t="s">
        <v>3217</v>
      </c>
      <c r="M133" s="6" t="s">
        <v>3687</v>
      </c>
      <c r="N133" s="6" t="s">
        <v>2837</v>
      </c>
    </row>
    <row r="134" spans="1:14" x14ac:dyDescent="0.2">
      <c r="A134" s="13" t="s">
        <v>557</v>
      </c>
      <c r="B134" s="6" t="s">
        <v>2281</v>
      </c>
      <c r="C134" s="6" t="s">
        <v>797</v>
      </c>
      <c r="D134" s="6" t="s">
        <v>888</v>
      </c>
      <c r="E134" s="6" t="s">
        <v>976</v>
      </c>
      <c r="F134" s="6" t="s">
        <v>1066</v>
      </c>
      <c r="G134" s="6" t="s">
        <v>888</v>
      </c>
      <c r="H134" s="6" t="s">
        <v>1236</v>
      </c>
      <c r="I134" s="6" t="s">
        <v>2838</v>
      </c>
      <c r="J134" s="6" t="s">
        <v>2964</v>
      </c>
      <c r="K134" s="6" t="s">
        <v>3089</v>
      </c>
      <c r="L134" s="6" t="s">
        <v>3218</v>
      </c>
      <c r="M134" s="6" t="s">
        <v>3688</v>
      </c>
      <c r="N134" s="6" t="s">
        <v>3800</v>
      </c>
    </row>
    <row r="135" spans="1:14" x14ac:dyDescent="0.2">
      <c r="A135" s="13" t="s">
        <v>558</v>
      </c>
      <c r="B135" s="6" t="s">
        <v>707</v>
      </c>
      <c r="C135" s="6" t="s">
        <v>798</v>
      </c>
      <c r="D135" s="6" t="s">
        <v>889</v>
      </c>
      <c r="E135" s="6" t="s">
        <v>977</v>
      </c>
      <c r="F135" s="6" t="s">
        <v>1067</v>
      </c>
      <c r="G135" s="6" t="s">
        <v>1148</v>
      </c>
      <c r="H135" s="6" t="s">
        <v>1237</v>
      </c>
      <c r="I135" s="6" t="s">
        <v>2839</v>
      </c>
      <c r="J135" s="6" t="s">
        <v>2965</v>
      </c>
      <c r="K135" s="6" t="s">
        <v>3090</v>
      </c>
      <c r="L135" s="6" t="s">
        <v>3219</v>
      </c>
      <c r="M135" s="6" t="s">
        <v>3689</v>
      </c>
      <c r="N135" s="6" t="s">
        <v>3801</v>
      </c>
    </row>
    <row r="136" spans="1:14" x14ac:dyDescent="0.2">
      <c r="A136" s="13" t="s">
        <v>559</v>
      </c>
      <c r="B136" s="6" t="s">
        <v>708</v>
      </c>
      <c r="C136" s="6" t="s">
        <v>799</v>
      </c>
      <c r="D136" s="6" t="s">
        <v>890</v>
      </c>
      <c r="E136" s="6" t="s">
        <v>978</v>
      </c>
      <c r="F136" s="6" t="s">
        <v>1068</v>
      </c>
      <c r="G136" s="6" t="s">
        <v>890</v>
      </c>
      <c r="H136" s="6" t="s">
        <v>1238</v>
      </c>
      <c r="I136" s="6" t="s">
        <v>2840</v>
      </c>
      <c r="J136" s="6" t="s">
        <v>2966</v>
      </c>
      <c r="K136" s="6" t="s">
        <v>3091</v>
      </c>
      <c r="L136" s="6" t="s">
        <v>3220</v>
      </c>
      <c r="M136" s="6" t="s">
        <v>3690</v>
      </c>
      <c r="N136" s="6" t="s">
        <v>3802</v>
      </c>
    </row>
    <row r="137" spans="1:14" x14ac:dyDescent="0.2">
      <c r="A137" s="13" t="s">
        <v>1848</v>
      </c>
      <c r="B137" s="6" t="s">
        <v>1893</v>
      </c>
      <c r="C137" s="6" t="s">
        <v>1934</v>
      </c>
      <c r="D137" s="6" t="s">
        <v>1979</v>
      </c>
      <c r="E137" s="6" t="s">
        <v>2024</v>
      </c>
      <c r="F137" s="6" t="s">
        <v>2069</v>
      </c>
      <c r="G137" s="6" t="s">
        <v>2113</v>
      </c>
      <c r="H137" s="6" t="s">
        <v>2158</v>
      </c>
      <c r="I137" s="6" t="s">
        <v>2841</v>
      </c>
      <c r="J137" s="6" t="s">
        <v>2967</v>
      </c>
      <c r="K137" s="6" t="s">
        <v>3092</v>
      </c>
      <c r="L137" s="6" t="s">
        <v>3221</v>
      </c>
      <c r="M137" s="6" t="s">
        <v>3691</v>
      </c>
      <c r="N137" s="6" t="s">
        <v>3803</v>
      </c>
    </row>
    <row r="138" spans="1:14" x14ac:dyDescent="0.2">
      <c r="A138" s="13" t="s">
        <v>560</v>
      </c>
      <c r="B138" s="6" t="s">
        <v>709</v>
      </c>
      <c r="C138" s="6" t="s">
        <v>800</v>
      </c>
      <c r="D138" s="6" t="s">
        <v>891</v>
      </c>
      <c r="E138" s="6" t="s">
        <v>979</v>
      </c>
      <c r="F138" s="6" t="s">
        <v>1069</v>
      </c>
      <c r="G138" s="6" t="s">
        <v>1149</v>
      </c>
      <c r="H138" s="6" t="s">
        <v>1239</v>
      </c>
      <c r="I138" s="6" t="s">
        <v>2842</v>
      </c>
      <c r="J138" s="6" t="s">
        <v>2968</v>
      </c>
      <c r="K138" s="6" t="s">
        <v>3093</v>
      </c>
      <c r="L138" s="6" t="s">
        <v>3222</v>
      </c>
      <c r="M138" s="6" t="s">
        <v>3692</v>
      </c>
      <c r="N138" s="6" t="s">
        <v>3804</v>
      </c>
    </row>
    <row r="139" spans="1:14" x14ac:dyDescent="0.2">
      <c r="A139" s="13" t="s">
        <v>561</v>
      </c>
      <c r="B139" s="6" t="s">
        <v>710</v>
      </c>
      <c r="C139" s="6" t="s">
        <v>801</v>
      </c>
      <c r="D139" s="6" t="s">
        <v>892</v>
      </c>
      <c r="E139" s="6" t="s">
        <v>980</v>
      </c>
      <c r="F139" s="6" t="s">
        <v>1070</v>
      </c>
      <c r="G139" s="6" t="s">
        <v>1150</v>
      </c>
      <c r="H139" s="6" t="s">
        <v>1240</v>
      </c>
      <c r="I139" s="6" t="s">
        <v>2843</v>
      </c>
      <c r="J139" s="6" t="s">
        <v>2968</v>
      </c>
      <c r="K139" s="6" t="s">
        <v>3094</v>
      </c>
      <c r="L139" s="6" t="s">
        <v>3223</v>
      </c>
      <c r="M139" s="6" t="s">
        <v>3693</v>
      </c>
      <c r="N139" s="6" t="s">
        <v>3805</v>
      </c>
    </row>
    <row r="140" spans="1:14" x14ac:dyDescent="0.2">
      <c r="A140" s="13" t="s">
        <v>191</v>
      </c>
      <c r="B140" s="6" t="s">
        <v>192</v>
      </c>
      <c r="C140" s="6" t="s">
        <v>191</v>
      </c>
      <c r="D140" s="6" t="s">
        <v>193</v>
      </c>
      <c r="E140" s="6" t="s">
        <v>194</v>
      </c>
      <c r="F140" s="6" t="s">
        <v>195</v>
      </c>
      <c r="G140" s="6" t="s">
        <v>195</v>
      </c>
      <c r="H140" s="6" t="s">
        <v>196</v>
      </c>
      <c r="I140" s="6" t="s">
        <v>2844</v>
      </c>
      <c r="J140" s="6" t="s">
        <v>2969</v>
      </c>
      <c r="K140" s="6" t="s">
        <v>3095</v>
      </c>
      <c r="L140" s="6" t="s">
        <v>3224</v>
      </c>
      <c r="M140" s="6" t="s">
        <v>2969</v>
      </c>
      <c r="N140" s="6" t="s">
        <v>2844</v>
      </c>
    </row>
    <row r="141" spans="1:14" x14ac:dyDescent="0.2">
      <c r="A141" s="13" t="s">
        <v>562</v>
      </c>
      <c r="B141" s="6" t="s">
        <v>711</v>
      </c>
      <c r="C141" s="6" t="s">
        <v>802</v>
      </c>
      <c r="D141" s="6" t="s">
        <v>893</v>
      </c>
      <c r="E141" s="6" t="s">
        <v>981</v>
      </c>
      <c r="F141" s="6" t="s">
        <v>1071</v>
      </c>
      <c r="G141" s="6" t="s">
        <v>1151</v>
      </c>
      <c r="H141" s="6" t="s">
        <v>1241</v>
      </c>
      <c r="I141" s="6" t="s">
        <v>2845</v>
      </c>
      <c r="J141" s="6" t="s">
        <v>2970</v>
      </c>
      <c r="K141" s="6" t="s">
        <v>3096</v>
      </c>
      <c r="L141" s="6" t="s">
        <v>3225</v>
      </c>
      <c r="M141" s="6" t="s">
        <v>3694</v>
      </c>
      <c r="N141" s="6" t="s">
        <v>3806</v>
      </c>
    </row>
    <row r="142" spans="1:14" x14ac:dyDescent="0.2">
      <c r="A142" s="13" t="s">
        <v>165</v>
      </c>
      <c r="B142" s="6" t="s">
        <v>166</v>
      </c>
      <c r="C142" s="6" t="s">
        <v>167</v>
      </c>
      <c r="D142" s="6" t="s">
        <v>165</v>
      </c>
      <c r="E142" s="6" t="s">
        <v>168</v>
      </c>
      <c r="F142" s="6" t="s">
        <v>165</v>
      </c>
      <c r="G142" s="6" t="s">
        <v>169</v>
      </c>
      <c r="H142" s="6" t="s">
        <v>170</v>
      </c>
      <c r="I142" s="6" t="s">
        <v>2846</v>
      </c>
      <c r="J142" s="6" t="s">
        <v>2971</v>
      </c>
      <c r="K142" s="6" t="s">
        <v>3097</v>
      </c>
      <c r="L142" s="6" t="s">
        <v>3226</v>
      </c>
      <c r="M142" s="6" t="s">
        <v>3695</v>
      </c>
      <c r="N142" s="6" t="s">
        <v>2846</v>
      </c>
    </row>
    <row r="143" spans="1:14" x14ac:dyDescent="0.2">
      <c r="A143" s="13" t="s">
        <v>563</v>
      </c>
      <c r="B143" s="6" t="s">
        <v>1242</v>
      </c>
      <c r="C143" s="6" t="s">
        <v>1310</v>
      </c>
      <c r="D143" s="6" t="s">
        <v>1382</v>
      </c>
      <c r="E143" s="6" t="s">
        <v>1455</v>
      </c>
      <c r="F143" s="6" t="s">
        <v>1528</v>
      </c>
      <c r="G143" s="6" t="s">
        <v>1599</v>
      </c>
      <c r="H143" s="6" t="s">
        <v>1665</v>
      </c>
      <c r="I143" s="6" t="s">
        <v>2847</v>
      </c>
      <c r="J143" s="6" t="s">
        <v>2972</v>
      </c>
      <c r="K143" s="6" t="s">
        <v>3098</v>
      </c>
      <c r="L143" s="6" t="s">
        <v>3227</v>
      </c>
      <c r="M143" s="6" t="s">
        <v>3696</v>
      </c>
      <c r="N143" s="6" t="s">
        <v>3807</v>
      </c>
    </row>
    <row r="144" spans="1:14" x14ac:dyDescent="0.2">
      <c r="A144" s="13" t="s">
        <v>5</v>
      </c>
      <c r="B144" s="6" t="s">
        <v>1243</v>
      </c>
      <c r="C144" s="6" t="s">
        <v>1311</v>
      </c>
      <c r="D144" s="6" t="s">
        <v>1383</v>
      </c>
      <c r="E144" s="6" t="s">
        <v>1456</v>
      </c>
      <c r="F144" s="6" t="s">
        <v>1529</v>
      </c>
      <c r="G144" s="6" t="s">
        <v>1600</v>
      </c>
      <c r="H144" s="6" t="s">
        <v>1666</v>
      </c>
      <c r="I144" s="6" t="s">
        <v>2848</v>
      </c>
      <c r="J144" s="6" t="s">
        <v>2973</v>
      </c>
      <c r="K144" s="6" t="s">
        <v>3099</v>
      </c>
      <c r="L144" s="6" t="s">
        <v>3228</v>
      </c>
      <c r="M144" s="6" t="s">
        <v>3697</v>
      </c>
      <c r="N144" s="6" t="s">
        <v>3808</v>
      </c>
    </row>
    <row r="145" spans="1:14" x14ac:dyDescent="0.2">
      <c r="A145" s="13" t="s">
        <v>22</v>
      </c>
      <c r="B145" s="6" t="s">
        <v>1244</v>
      </c>
      <c r="C145" s="6" t="s">
        <v>1312</v>
      </c>
      <c r="D145" s="6" t="s">
        <v>1384</v>
      </c>
      <c r="E145" s="6" t="s">
        <v>1457</v>
      </c>
      <c r="F145" s="6" t="s">
        <v>1530</v>
      </c>
      <c r="G145" s="6" t="s">
        <v>1384</v>
      </c>
      <c r="H145" s="6" t="s">
        <v>1667</v>
      </c>
      <c r="I145" s="6" t="s">
        <v>2849</v>
      </c>
      <c r="J145" s="6" t="s">
        <v>2974</v>
      </c>
      <c r="K145" s="6" t="s">
        <v>3100</v>
      </c>
      <c r="L145" s="6" t="s">
        <v>3229</v>
      </c>
      <c r="M145" s="6" t="s">
        <v>3698</v>
      </c>
      <c r="N145" s="6" t="s">
        <v>3809</v>
      </c>
    </row>
    <row r="146" spans="1:14" x14ac:dyDescent="0.2">
      <c r="A146" s="13" t="s">
        <v>11</v>
      </c>
      <c r="B146" s="6" t="s">
        <v>1245</v>
      </c>
      <c r="C146" s="6" t="s">
        <v>1313</v>
      </c>
      <c r="D146" s="6" t="s">
        <v>1385</v>
      </c>
      <c r="E146" s="6" t="s">
        <v>1458</v>
      </c>
      <c r="F146" s="6" t="s">
        <v>1531</v>
      </c>
      <c r="G146" s="6" t="s">
        <v>1601</v>
      </c>
      <c r="H146" s="6" t="s">
        <v>1668</v>
      </c>
      <c r="I146" s="6" t="s">
        <v>2850</v>
      </c>
      <c r="J146" s="6" t="s">
        <v>2975</v>
      </c>
      <c r="K146" s="6" t="s">
        <v>3101</v>
      </c>
      <c r="L146" s="6" t="s">
        <v>3230</v>
      </c>
      <c r="M146" s="6" t="s">
        <v>3699</v>
      </c>
      <c r="N146" s="6" t="s">
        <v>3810</v>
      </c>
    </row>
    <row r="147" spans="1:14" x14ac:dyDescent="0.2">
      <c r="A147" s="13" t="s">
        <v>564</v>
      </c>
      <c r="B147" s="6" t="s">
        <v>1246</v>
      </c>
      <c r="C147" s="6" t="s">
        <v>1314</v>
      </c>
      <c r="D147" s="6" t="s">
        <v>1386</v>
      </c>
      <c r="E147" s="6" t="s">
        <v>1459</v>
      </c>
      <c r="F147" s="6" t="s">
        <v>1532</v>
      </c>
      <c r="G147" s="6" t="s">
        <v>1602</v>
      </c>
      <c r="H147" s="6" t="s">
        <v>1669</v>
      </c>
      <c r="I147" s="6" t="s">
        <v>2851</v>
      </c>
      <c r="J147" s="6" t="s">
        <v>2976</v>
      </c>
      <c r="K147" s="6" t="s">
        <v>3102</v>
      </c>
      <c r="L147" s="6" t="s">
        <v>3231</v>
      </c>
      <c r="M147" s="6" t="s">
        <v>3700</v>
      </c>
      <c r="N147" s="6" t="s">
        <v>3811</v>
      </c>
    </row>
    <row r="148" spans="1:14" x14ac:dyDescent="0.2">
      <c r="A148" s="13" t="s">
        <v>565</v>
      </c>
      <c r="B148" s="6" t="s">
        <v>1247</v>
      </c>
      <c r="C148" s="6" t="s">
        <v>1315</v>
      </c>
      <c r="D148" s="6" t="s">
        <v>1387</v>
      </c>
      <c r="E148" s="6" t="s">
        <v>1460</v>
      </c>
      <c r="F148" s="6" t="s">
        <v>1533</v>
      </c>
      <c r="G148" s="6" t="s">
        <v>1603</v>
      </c>
      <c r="H148" s="6" t="s">
        <v>1670</v>
      </c>
      <c r="I148" s="6" t="s">
        <v>2852</v>
      </c>
      <c r="J148" s="6" t="s">
        <v>2977</v>
      </c>
      <c r="K148" s="6" t="s">
        <v>3103</v>
      </c>
      <c r="L148" s="6" t="s">
        <v>3232</v>
      </c>
      <c r="M148" s="6" t="s">
        <v>3701</v>
      </c>
      <c r="N148" s="6" t="s">
        <v>3812</v>
      </c>
    </row>
    <row r="149" spans="1:14" x14ac:dyDescent="0.2">
      <c r="A149" s="13" t="s">
        <v>566</v>
      </c>
      <c r="B149" s="6" t="s">
        <v>1248</v>
      </c>
      <c r="C149" s="6" t="s">
        <v>1316</v>
      </c>
      <c r="D149" s="6" t="s">
        <v>1388</v>
      </c>
      <c r="E149" s="6" t="s">
        <v>1461</v>
      </c>
      <c r="F149" s="6" t="s">
        <v>1534</v>
      </c>
      <c r="G149" s="6" t="s">
        <v>1604</v>
      </c>
      <c r="H149" s="6" t="s">
        <v>1671</v>
      </c>
      <c r="I149" s="6" t="s">
        <v>2853</v>
      </c>
      <c r="J149" s="6" t="s">
        <v>2978</v>
      </c>
      <c r="K149" s="6" t="s">
        <v>3104</v>
      </c>
      <c r="L149" s="6" t="s">
        <v>3233</v>
      </c>
      <c r="M149" s="6" t="s">
        <v>3702</v>
      </c>
      <c r="N149" s="6" t="s">
        <v>3813</v>
      </c>
    </row>
    <row r="150" spans="1:14" x14ac:dyDescent="0.2">
      <c r="A150" s="13" t="s">
        <v>338</v>
      </c>
      <c r="B150" s="6" t="s">
        <v>1249</v>
      </c>
      <c r="C150" s="6" t="s">
        <v>338</v>
      </c>
      <c r="D150" s="6" t="s">
        <v>1389</v>
      </c>
      <c r="E150" s="6" t="s">
        <v>1462</v>
      </c>
      <c r="F150" s="6" t="s">
        <v>1535</v>
      </c>
      <c r="G150" s="6" t="s">
        <v>1605</v>
      </c>
      <c r="H150" s="6" t="s">
        <v>1672</v>
      </c>
      <c r="I150" s="6" t="s">
        <v>2854</v>
      </c>
      <c r="J150" s="6" t="s">
        <v>2979</v>
      </c>
      <c r="K150" s="6" t="s">
        <v>3105</v>
      </c>
      <c r="L150" s="6" t="s">
        <v>3234</v>
      </c>
      <c r="M150" s="6" t="s">
        <v>3703</v>
      </c>
      <c r="N150" s="6" t="s">
        <v>3814</v>
      </c>
    </row>
    <row r="151" spans="1:14" x14ac:dyDescent="0.2">
      <c r="A151" s="13" t="s">
        <v>1</v>
      </c>
      <c r="B151" s="6" t="s">
        <v>134</v>
      </c>
      <c r="C151" s="6" t="s">
        <v>1</v>
      </c>
      <c r="D151" s="6" t="s">
        <v>135</v>
      </c>
      <c r="E151" s="6" t="s">
        <v>136</v>
      </c>
      <c r="F151" s="6" t="s">
        <v>137</v>
      </c>
      <c r="G151" s="6" t="s">
        <v>138</v>
      </c>
      <c r="H151" s="6" t="s">
        <v>139</v>
      </c>
      <c r="I151" s="6" t="s">
        <v>1</v>
      </c>
      <c r="J151" s="6" t="s">
        <v>2980</v>
      </c>
      <c r="K151" s="6" t="s">
        <v>3106</v>
      </c>
      <c r="L151" s="6" t="s">
        <v>3235</v>
      </c>
      <c r="M151" s="6" t="s">
        <v>3704</v>
      </c>
      <c r="N151" s="6" t="s">
        <v>1</v>
      </c>
    </row>
    <row r="152" spans="1:14" x14ac:dyDescent="0.2">
      <c r="A152" s="13" t="s">
        <v>567</v>
      </c>
      <c r="B152" s="6" t="s">
        <v>1250</v>
      </c>
      <c r="C152" s="6" t="s">
        <v>1317</v>
      </c>
      <c r="D152" s="6" t="s">
        <v>1390</v>
      </c>
      <c r="E152" s="6" t="s">
        <v>1463</v>
      </c>
      <c r="F152" s="6" t="s">
        <v>1536</v>
      </c>
      <c r="G152" s="6" t="s">
        <v>1606</v>
      </c>
      <c r="H152" s="6" t="s">
        <v>1673</v>
      </c>
      <c r="I152" s="6" t="s">
        <v>2855</v>
      </c>
      <c r="J152" s="6" t="s">
        <v>2981</v>
      </c>
      <c r="K152" s="6" t="s">
        <v>3107</v>
      </c>
      <c r="L152" s="6" t="s">
        <v>3236</v>
      </c>
      <c r="M152" s="6" t="s">
        <v>3705</v>
      </c>
      <c r="N152" s="6" t="s">
        <v>2855</v>
      </c>
    </row>
    <row r="153" spans="1:14" x14ac:dyDescent="0.2">
      <c r="A153" s="13" t="s">
        <v>568</v>
      </c>
      <c r="B153" s="6" t="s">
        <v>1251</v>
      </c>
      <c r="C153" s="6" t="s">
        <v>1318</v>
      </c>
      <c r="D153" s="6" t="s">
        <v>1391</v>
      </c>
      <c r="E153" s="6" t="s">
        <v>1464</v>
      </c>
      <c r="F153" s="6" t="s">
        <v>1537</v>
      </c>
      <c r="G153" s="6" t="s">
        <v>1607</v>
      </c>
      <c r="H153" s="6" t="s">
        <v>1674</v>
      </c>
      <c r="I153" s="6" t="s">
        <v>2856</v>
      </c>
      <c r="J153" s="6" t="s">
        <v>2982</v>
      </c>
      <c r="K153" s="6" t="s">
        <v>3108</v>
      </c>
      <c r="L153" s="6" t="s">
        <v>3237</v>
      </c>
      <c r="M153" s="6" t="s">
        <v>3706</v>
      </c>
      <c r="N153" s="6" t="s">
        <v>3815</v>
      </c>
    </row>
    <row r="154" spans="1:14" x14ac:dyDescent="0.2">
      <c r="A154" s="13" t="s">
        <v>211</v>
      </c>
      <c r="B154" s="6" t="s">
        <v>212</v>
      </c>
      <c r="C154" s="6" t="s">
        <v>213</v>
      </c>
      <c r="D154" s="6" t="s">
        <v>214</v>
      </c>
      <c r="E154" s="6" t="s">
        <v>215</v>
      </c>
      <c r="F154" s="6" t="s">
        <v>216</v>
      </c>
      <c r="G154" s="6" t="s">
        <v>217</v>
      </c>
      <c r="H154" s="6" t="s">
        <v>218</v>
      </c>
      <c r="I154" s="6" t="s">
        <v>2857</v>
      </c>
      <c r="J154" s="6" t="s">
        <v>2983</v>
      </c>
      <c r="K154" s="6" t="s">
        <v>3109</v>
      </c>
      <c r="L154" s="6" t="s">
        <v>3238</v>
      </c>
      <c r="M154" s="6" t="s">
        <v>3707</v>
      </c>
      <c r="N154" s="6" t="s">
        <v>3816</v>
      </c>
    </row>
    <row r="155" spans="1:14" x14ac:dyDescent="0.2">
      <c r="A155" s="13" t="s">
        <v>203</v>
      </c>
      <c r="B155" s="6" t="s">
        <v>204</v>
      </c>
      <c r="C155" s="6" t="s">
        <v>205</v>
      </c>
      <c r="D155" s="6" t="s">
        <v>206</v>
      </c>
      <c r="E155" s="6" t="s">
        <v>207</v>
      </c>
      <c r="F155" s="6" t="s">
        <v>208</v>
      </c>
      <c r="G155" s="6" t="s">
        <v>209</v>
      </c>
      <c r="H155" s="6" t="s">
        <v>210</v>
      </c>
      <c r="I155" s="6" t="s">
        <v>2858</v>
      </c>
      <c r="J155" s="6" t="s">
        <v>2984</v>
      </c>
      <c r="K155" s="6" t="s">
        <v>3110</v>
      </c>
      <c r="L155" s="6" t="s">
        <v>3239</v>
      </c>
      <c r="M155" s="6" t="s">
        <v>3708</v>
      </c>
      <c r="N155" s="6" t="s">
        <v>3817</v>
      </c>
    </row>
    <row r="156" spans="1:14" x14ac:dyDescent="0.2">
      <c r="A156" s="13" t="s">
        <v>178</v>
      </c>
      <c r="B156" s="6" t="s">
        <v>1252</v>
      </c>
      <c r="C156" s="6" t="s">
        <v>179</v>
      </c>
      <c r="D156" s="6" t="s">
        <v>180</v>
      </c>
      <c r="E156" s="6" t="s">
        <v>181</v>
      </c>
      <c r="F156" s="6" t="s">
        <v>182</v>
      </c>
      <c r="G156" s="6" t="s">
        <v>183</v>
      </c>
      <c r="H156" s="6" t="s">
        <v>184</v>
      </c>
      <c r="I156" s="6" t="s">
        <v>2859</v>
      </c>
      <c r="J156" s="6" t="s">
        <v>2985</v>
      </c>
      <c r="K156" s="6" t="s">
        <v>3111</v>
      </c>
      <c r="L156" s="6" t="s">
        <v>3240</v>
      </c>
      <c r="M156" s="6" t="s">
        <v>3709</v>
      </c>
      <c r="N156" s="6" t="s">
        <v>3818</v>
      </c>
    </row>
    <row r="157" spans="1:14" x14ac:dyDescent="0.2">
      <c r="A157" s="13" t="s">
        <v>153</v>
      </c>
      <c r="B157" s="6" t="s">
        <v>154</v>
      </c>
      <c r="C157" s="6" t="s">
        <v>155</v>
      </c>
      <c r="D157" s="6" t="s">
        <v>156</v>
      </c>
      <c r="E157" s="6" t="s">
        <v>157</v>
      </c>
      <c r="F157" s="6" t="s">
        <v>158</v>
      </c>
      <c r="G157" s="6" t="s">
        <v>159</v>
      </c>
      <c r="H157" s="6" t="s">
        <v>160</v>
      </c>
      <c r="I157" s="6" t="s">
        <v>2860</v>
      </c>
      <c r="J157" s="6" t="s">
        <v>2986</v>
      </c>
      <c r="K157" s="6" t="s">
        <v>3112</v>
      </c>
      <c r="L157" s="6" t="s">
        <v>3241</v>
      </c>
      <c r="M157" s="6" t="s">
        <v>3710</v>
      </c>
      <c r="N157" s="6" t="s">
        <v>3819</v>
      </c>
    </row>
    <row r="158" spans="1:14" x14ac:dyDescent="0.2">
      <c r="A158" s="13" t="s">
        <v>569</v>
      </c>
      <c r="B158" s="6" t="s">
        <v>1253</v>
      </c>
      <c r="C158" s="6" t="s">
        <v>1319</v>
      </c>
      <c r="D158" s="6" t="s">
        <v>1392</v>
      </c>
      <c r="E158" s="6" t="s">
        <v>1465</v>
      </c>
      <c r="F158" s="6" t="s">
        <v>1538</v>
      </c>
      <c r="G158" s="6" t="s">
        <v>1608</v>
      </c>
      <c r="H158" s="6" t="s">
        <v>1675</v>
      </c>
      <c r="I158" s="6" t="s">
        <v>2861</v>
      </c>
      <c r="J158" s="6" t="s">
        <v>2987</v>
      </c>
      <c r="K158" s="6" t="s">
        <v>3113</v>
      </c>
      <c r="L158" s="6" t="s">
        <v>3242</v>
      </c>
      <c r="M158" s="6" t="s">
        <v>3711</v>
      </c>
      <c r="N158" s="6" t="s">
        <v>3820</v>
      </c>
    </row>
    <row r="159" spans="1:14" x14ac:dyDescent="0.2">
      <c r="A159" s="13" t="s">
        <v>570</v>
      </c>
      <c r="B159" s="6" t="s">
        <v>1254</v>
      </c>
      <c r="C159" s="6" t="s">
        <v>1320</v>
      </c>
      <c r="D159" s="6" t="s">
        <v>1393</v>
      </c>
      <c r="E159" s="6" t="s">
        <v>1466</v>
      </c>
      <c r="F159" s="6" t="s">
        <v>1539</v>
      </c>
      <c r="G159" s="6" t="s">
        <v>1609</v>
      </c>
      <c r="H159" s="6" t="s">
        <v>1676</v>
      </c>
      <c r="I159" s="6" t="s">
        <v>2862</v>
      </c>
      <c r="J159" s="6" t="s">
        <v>2988</v>
      </c>
      <c r="K159" s="6" t="s">
        <v>3114</v>
      </c>
      <c r="L159" s="6" t="s">
        <v>3243</v>
      </c>
      <c r="M159" s="6" t="s">
        <v>3712</v>
      </c>
      <c r="N159" s="6" t="s">
        <v>3821</v>
      </c>
    </row>
    <row r="160" spans="1:14" x14ac:dyDescent="0.2">
      <c r="A160" s="13" t="s">
        <v>114</v>
      </c>
      <c r="B160" s="6" t="s">
        <v>1255</v>
      </c>
      <c r="C160" s="6" t="s">
        <v>1321</v>
      </c>
      <c r="D160" s="6" t="s">
        <v>1394</v>
      </c>
      <c r="E160" s="6" t="s">
        <v>115</v>
      </c>
      <c r="F160" s="6" t="s">
        <v>116</v>
      </c>
      <c r="G160" s="6" t="s">
        <v>117</v>
      </c>
      <c r="H160" s="6" t="s">
        <v>118</v>
      </c>
      <c r="I160" s="6" t="s">
        <v>2863</v>
      </c>
      <c r="J160" s="6" t="s">
        <v>2989</v>
      </c>
      <c r="K160" s="6" t="s">
        <v>3115</v>
      </c>
      <c r="L160" s="6" t="s">
        <v>3244</v>
      </c>
      <c r="M160" s="6" t="s">
        <v>3713</v>
      </c>
      <c r="N160" s="6" t="s">
        <v>3822</v>
      </c>
    </row>
    <row r="161" spans="1:14" x14ac:dyDescent="0.2">
      <c r="A161" s="13" t="s">
        <v>315</v>
      </c>
      <c r="B161" s="6" t="s">
        <v>3462</v>
      </c>
      <c r="C161" s="6" t="s">
        <v>316</v>
      </c>
      <c r="D161" s="6" t="s">
        <v>317</v>
      </c>
      <c r="E161" s="6" t="s">
        <v>318</v>
      </c>
      <c r="F161" s="6" t="s">
        <v>319</v>
      </c>
      <c r="G161" s="6" t="s">
        <v>320</v>
      </c>
      <c r="H161" s="6" t="s">
        <v>321</v>
      </c>
      <c r="I161" s="6" t="s">
        <v>2864</v>
      </c>
      <c r="J161" s="6" t="s">
        <v>2990</v>
      </c>
      <c r="K161" s="6" t="s">
        <v>3116</v>
      </c>
      <c r="L161" s="6" t="s">
        <v>3245</v>
      </c>
      <c r="M161" s="6" t="s">
        <v>3714</v>
      </c>
      <c r="N161" s="6" t="s">
        <v>3823</v>
      </c>
    </row>
    <row r="162" spans="1:14" x14ac:dyDescent="0.2">
      <c r="A162" s="13" t="s">
        <v>260</v>
      </c>
      <c r="B162" s="6" t="s">
        <v>261</v>
      </c>
      <c r="C162" s="6" t="s">
        <v>262</v>
      </c>
      <c r="D162" s="6" t="s">
        <v>263</v>
      </c>
      <c r="E162" s="6" t="s">
        <v>264</v>
      </c>
      <c r="F162" s="6" t="s">
        <v>265</v>
      </c>
      <c r="G162" s="6" t="s">
        <v>266</v>
      </c>
      <c r="H162" s="6" t="s">
        <v>267</v>
      </c>
      <c r="I162" s="6" t="s">
        <v>2865</v>
      </c>
      <c r="J162" s="6" t="s">
        <v>2991</v>
      </c>
      <c r="K162" s="6" t="s">
        <v>3117</v>
      </c>
      <c r="L162" s="6" t="s">
        <v>3246</v>
      </c>
      <c r="M162" s="6" t="s">
        <v>3715</v>
      </c>
      <c r="N162" s="6" t="s">
        <v>3824</v>
      </c>
    </row>
    <row r="163" spans="1:14" x14ac:dyDescent="0.2">
      <c r="A163" s="13" t="s">
        <v>571</v>
      </c>
      <c r="B163" s="6" t="s">
        <v>1824</v>
      </c>
      <c r="C163" s="6" t="s">
        <v>1322</v>
      </c>
      <c r="D163" s="6" t="s">
        <v>1395</v>
      </c>
      <c r="E163" s="6" t="s">
        <v>1467</v>
      </c>
      <c r="F163" s="6" t="s">
        <v>1540</v>
      </c>
      <c r="G163" s="6" t="s">
        <v>1610</v>
      </c>
      <c r="H163" s="6" t="s">
        <v>1677</v>
      </c>
      <c r="I163" s="6" t="s">
        <v>2866</v>
      </c>
      <c r="J163" s="6" t="s">
        <v>2992</v>
      </c>
      <c r="K163" s="6" t="s">
        <v>3118</v>
      </c>
      <c r="L163" s="6" t="s">
        <v>3247</v>
      </c>
      <c r="M163" s="6" t="s">
        <v>3716</v>
      </c>
      <c r="N163" s="6" t="s">
        <v>3825</v>
      </c>
    </row>
    <row r="164" spans="1:14" x14ac:dyDescent="0.2">
      <c r="A164" s="13" t="s">
        <v>572</v>
      </c>
      <c r="B164" s="6" t="s">
        <v>1829</v>
      </c>
      <c r="C164" s="6" t="s">
        <v>1323</v>
      </c>
      <c r="D164" s="6" t="s">
        <v>1396</v>
      </c>
      <c r="E164" s="6" t="s">
        <v>1468</v>
      </c>
      <c r="F164" s="6" t="s">
        <v>1541</v>
      </c>
      <c r="G164" s="6" t="s">
        <v>1611</v>
      </c>
      <c r="H164" s="6" t="s">
        <v>1678</v>
      </c>
      <c r="I164" s="6" t="s">
        <v>2867</v>
      </c>
      <c r="J164" s="6" t="s">
        <v>2993</v>
      </c>
      <c r="K164" s="6" t="s">
        <v>3119</v>
      </c>
      <c r="L164" s="6" t="s">
        <v>3248</v>
      </c>
      <c r="M164" s="6" t="s">
        <v>3717</v>
      </c>
      <c r="N164" s="6" t="s">
        <v>3826</v>
      </c>
    </row>
    <row r="165" spans="1:14" x14ac:dyDescent="0.2">
      <c r="A165" s="13" t="s">
        <v>1836</v>
      </c>
      <c r="B165" s="6" t="s">
        <v>1890</v>
      </c>
      <c r="C165" s="6" t="s">
        <v>1931</v>
      </c>
      <c r="D165" s="6" t="s">
        <v>1976</v>
      </c>
      <c r="E165" s="6" t="s">
        <v>2021</v>
      </c>
      <c r="F165" s="6" t="s">
        <v>2066</v>
      </c>
      <c r="G165" s="6" t="s">
        <v>2111</v>
      </c>
      <c r="H165" s="6" t="s">
        <v>2155</v>
      </c>
      <c r="I165" s="6" t="s">
        <v>2868</v>
      </c>
      <c r="J165" s="6" t="s">
        <v>2994</v>
      </c>
      <c r="K165" s="6" t="s">
        <v>3120</v>
      </c>
      <c r="L165" s="6" t="s">
        <v>3249</v>
      </c>
      <c r="M165" s="6" t="s">
        <v>3718</v>
      </c>
      <c r="N165" s="6" t="s">
        <v>3827</v>
      </c>
    </row>
    <row r="166" spans="1:14" x14ac:dyDescent="0.2">
      <c r="A166" s="13" t="s">
        <v>197</v>
      </c>
      <c r="B166" s="6" t="s">
        <v>198</v>
      </c>
      <c r="C166" s="6" t="s">
        <v>199</v>
      </c>
      <c r="D166" s="6" t="s">
        <v>200</v>
      </c>
      <c r="E166" s="6" t="s">
        <v>197</v>
      </c>
      <c r="F166" s="6" t="s">
        <v>201</v>
      </c>
      <c r="G166" s="6" t="s">
        <v>200</v>
      </c>
      <c r="H166" s="6" t="s">
        <v>202</v>
      </c>
      <c r="I166" s="6" t="s">
        <v>2869</v>
      </c>
      <c r="J166" s="6" t="s">
        <v>2995</v>
      </c>
      <c r="K166" s="6" t="s">
        <v>3121</v>
      </c>
      <c r="L166" s="6" t="s">
        <v>3250</v>
      </c>
      <c r="M166" s="6" t="s">
        <v>3719</v>
      </c>
      <c r="N166" s="6" t="s">
        <v>2869</v>
      </c>
    </row>
    <row r="167" spans="1:14" x14ac:dyDescent="0.2">
      <c r="A167" s="13" t="s">
        <v>573</v>
      </c>
      <c r="B167" s="6" t="s">
        <v>1256</v>
      </c>
      <c r="C167" s="6" t="s">
        <v>1324</v>
      </c>
      <c r="D167" s="6" t="s">
        <v>1397</v>
      </c>
      <c r="E167" s="6" t="s">
        <v>1469</v>
      </c>
      <c r="F167" s="6" t="s">
        <v>1542</v>
      </c>
      <c r="G167" s="6" t="s">
        <v>1612</v>
      </c>
      <c r="H167" s="6" t="s">
        <v>1679</v>
      </c>
      <c r="I167" s="6" t="s">
        <v>2870</v>
      </c>
      <c r="J167" s="6" t="s">
        <v>2996</v>
      </c>
      <c r="K167" s="6" t="s">
        <v>3122</v>
      </c>
      <c r="L167" s="6" t="s">
        <v>3251</v>
      </c>
      <c r="M167" s="6" t="s">
        <v>3720</v>
      </c>
      <c r="N167" s="6" t="s">
        <v>3828</v>
      </c>
    </row>
    <row r="168" spans="1:14" x14ac:dyDescent="0.2">
      <c r="A168" s="13" t="s">
        <v>574</v>
      </c>
      <c r="B168" s="6" t="s">
        <v>1257</v>
      </c>
      <c r="C168" s="6" t="s">
        <v>1325</v>
      </c>
      <c r="D168" s="6" t="s">
        <v>1398</v>
      </c>
      <c r="E168" s="6" t="s">
        <v>1470</v>
      </c>
      <c r="F168" s="6" t="s">
        <v>1543</v>
      </c>
      <c r="G168" s="6" t="s">
        <v>1613</v>
      </c>
      <c r="H168" s="6" t="s">
        <v>1680</v>
      </c>
      <c r="I168" s="6" t="s">
        <v>2871</v>
      </c>
      <c r="J168" s="6" t="s">
        <v>2997</v>
      </c>
      <c r="K168" s="6" t="s">
        <v>3123</v>
      </c>
      <c r="L168" s="6" t="s">
        <v>3252</v>
      </c>
      <c r="M168" s="6" t="s">
        <v>3721</v>
      </c>
      <c r="N168" s="6" t="s">
        <v>3829</v>
      </c>
    </row>
    <row r="169" spans="1:14" x14ac:dyDescent="0.2">
      <c r="A169" s="13" t="s">
        <v>2284</v>
      </c>
      <c r="B169" s="6" t="s">
        <v>2286</v>
      </c>
      <c r="C169" s="6" t="s">
        <v>2288</v>
      </c>
      <c r="D169" s="6" t="s">
        <v>2290</v>
      </c>
      <c r="E169" s="6" t="s">
        <v>2292</v>
      </c>
      <c r="F169" s="6" t="s">
        <v>2294</v>
      </c>
      <c r="G169" s="6" t="s">
        <v>2296</v>
      </c>
      <c r="H169" s="6" t="s">
        <v>2297</v>
      </c>
      <c r="I169" s="6" t="s">
        <v>2872</v>
      </c>
      <c r="J169" s="6" t="s">
        <v>2998</v>
      </c>
      <c r="K169" s="6" t="s">
        <v>3124</v>
      </c>
      <c r="L169" s="6" t="s">
        <v>3253</v>
      </c>
      <c r="M169" s="6" t="s">
        <v>3722</v>
      </c>
      <c r="N169" s="6" t="s">
        <v>3830</v>
      </c>
    </row>
    <row r="170" spans="1:14" x14ac:dyDescent="0.2">
      <c r="A170" s="13" t="s">
        <v>30</v>
      </c>
      <c r="B170" s="6" t="s">
        <v>1258</v>
      </c>
      <c r="C170" s="6" t="s">
        <v>1326</v>
      </c>
      <c r="D170" s="6" t="s">
        <v>1399</v>
      </c>
      <c r="E170" s="6" t="s">
        <v>1471</v>
      </c>
      <c r="F170" s="6" t="s">
        <v>1544</v>
      </c>
      <c r="G170" s="6" t="s">
        <v>1614</v>
      </c>
      <c r="H170" s="6" t="s">
        <v>1681</v>
      </c>
      <c r="I170" s="6" t="s">
        <v>2873</v>
      </c>
      <c r="J170" s="6" t="s">
        <v>2999</v>
      </c>
      <c r="K170" s="6" t="s">
        <v>3125</v>
      </c>
      <c r="L170" s="6" t="s">
        <v>3254</v>
      </c>
      <c r="M170" s="6" t="s">
        <v>3723</v>
      </c>
      <c r="N170" s="6" t="s">
        <v>3831</v>
      </c>
    </row>
    <row r="171" spans="1:14" x14ac:dyDescent="0.2">
      <c r="A171" s="13" t="s">
        <v>29</v>
      </c>
      <c r="B171" s="6" t="s">
        <v>1259</v>
      </c>
      <c r="C171" s="6" t="s">
        <v>1327</v>
      </c>
      <c r="D171" s="6" t="s">
        <v>1400</v>
      </c>
      <c r="E171" s="6" t="s">
        <v>1472</v>
      </c>
      <c r="F171" s="6" t="s">
        <v>1545</v>
      </c>
      <c r="G171" s="6" t="s">
        <v>1615</v>
      </c>
      <c r="H171" s="6" t="s">
        <v>1682</v>
      </c>
      <c r="I171" s="6" t="s">
        <v>2874</v>
      </c>
      <c r="J171" s="6" t="s">
        <v>3000</v>
      </c>
      <c r="K171" s="6" t="s">
        <v>3126</v>
      </c>
      <c r="L171" s="6" t="s">
        <v>3255</v>
      </c>
      <c r="M171" s="6" t="s">
        <v>3724</v>
      </c>
      <c r="N171" s="6" t="s">
        <v>3832</v>
      </c>
    </row>
    <row r="172" spans="1:14" x14ac:dyDescent="0.2">
      <c r="A172" s="13" t="s">
        <v>575</v>
      </c>
      <c r="B172" s="6" t="s">
        <v>1260</v>
      </c>
      <c r="C172" s="6" t="s">
        <v>1328</v>
      </c>
      <c r="D172" s="6" t="s">
        <v>1401</v>
      </c>
      <c r="E172" s="6" t="s">
        <v>1473</v>
      </c>
      <c r="F172" s="6" t="s">
        <v>1546</v>
      </c>
      <c r="G172" s="6" t="s">
        <v>1616</v>
      </c>
      <c r="H172" s="6" t="s">
        <v>1683</v>
      </c>
      <c r="I172" s="6" t="s">
        <v>2875</v>
      </c>
      <c r="J172" s="6" t="s">
        <v>3001</v>
      </c>
      <c r="K172" s="6" t="s">
        <v>3127</v>
      </c>
      <c r="L172" s="6" t="s">
        <v>3256</v>
      </c>
      <c r="M172" s="6" t="s">
        <v>3725</v>
      </c>
      <c r="N172" s="6" t="s">
        <v>3833</v>
      </c>
    </row>
    <row r="173" spans="1:14" x14ac:dyDescent="0.2">
      <c r="A173" s="13" t="s">
        <v>3</v>
      </c>
      <c r="B173" s="6" t="s">
        <v>146</v>
      </c>
      <c r="C173" s="6" t="s">
        <v>147</v>
      </c>
      <c r="D173" s="6" t="s">
        <v>148</v>
      </c>
      <c r="E173" s="6" t="s">
        <v>149</v>
      </c>
      <c r="F173" s="6" t="s">
        <v>150</v>
      </c>
      <c r="G173" s="6" t="s">
        <v>151</v>
      </c>
      <c r="H173" s="6" t="s">
        <v>152</v>
      </c>
      <c r="I173" s="6" t="s">
        <v>2876</v>
      </c>
      <c r="J173" s="6" t="s">
        <v>3002</v>
      </c>
      <c r="K173" s="6" t="s">
        <v>3128</v>
      </c>
      <c r="L173" s="6" t="s">
        <v>3257</v>
      </c>
      <c r="M173" s="6" t="s">
        <v>152</v>
      </c>
      <c r="N173" s="6" t="s">
        <v>3834</v>
      </c>
    </row>
    <row r="174" spans="1:14" x14ac:dyDescent="0.2">
      <c r="A174" s="13" t="s">
        <v>576</v>
      </c>
      <c r="B174" s="6" t="s">
        <v>1834</v>
      </c>
      <c r="C174" s="6" t="s">
        <v>1329</v>
      </c>
      <c r="D174" s="6" t="s">
        <v>1402</v>
      </c>
      <c r="E174" s="6" t="s">
        <v>1474</v>
      </c>
      <c r="F174" s="6" t="s">
        <v>1547</v>
      </c>
      <c r="G174" s="6" t="s">
        <v>1617</v>
      </c>
      <c r="H174" s="6" t="s">
        <v>1684</v>
      </c>
      <c r="I174" s="6" t="s">
        <v>2877</v>
      </c>
      <c r="J174" s="6" t="s">
        <v>3003</v>
      </c>
      <c r="K174" s="6" t="s">
        <v>3129</v>
      </c>
      <c r="L174" s="6" t="s">
        <v>3258</v>
      </c>
      <c r="M174" s="6" t="s">
        <v>3726</v>
      </c>
      <c r="N174" s="6" t="s">
        <v>3835</v>
      </c>
    </row>
    <row r="175" spans="1:14" x14ac:dyDescent="0.2">
      <c r="A175" s="13" t="s">
        <v>577</v>
      </c>
      <c r="B175" s="6" t="s">
        <v>1840</v>
      </c>
      <c r="C175" s="6" t="s">
        <v>1330</v>
      </c>
      <c r="D175" s="6" t="s">
        <v>1403</v>
      </c>
      <c r="E175" s="6" t="s">
        <v>1475</v>
      </c>
      <c r="F175" s="6" t="s">
        <v>1548</v>
      </c>
      <c r="G175" s="6" t="s">
        <v>1618</v>
      </c>
      <c r="H175" s="6" t="s">
        <v>1685</v>
      </c>
      <c r="I175" s="6" t="s">
        <v>2878</v>
      </c>
      <c r="J175" s="6" t="s">
        <v>3004</v>
      </c>
      <c r="K175" s="6" t="s">
        <v>3130</v>
      </c>
      <c r="L175" s="6" t="s">
        <v>3259</v>
      </c>
      <c r="M175" s="6" t="s">
        <v>3727</v>
      </c>
      <c r="N175" s="6" t="s">
        <v>3836</v>
      </c>
    </row>
    <row r="176" spans="1:14" x14ac:dyDescent="0.2">
      <c r="A176" s="13" t="s">
        <v>322</v>
      </c>
      <c r="B176" s="6" t="s">
        <v>323</v>
      </c>
      <c r="C176" s="6" t="s">
        <v>324</v>
      </c>
      <c r="D176" s="6" t="s">
        <v>325</v>
      </c>
      <c r="E176" s="6" t="s">
        <v>326</v>
      </c>
      <c r="F176" s="6" t="s">
        <v>327</v>
      </c>
      <c r="G176" s="6" t="s">
        <v>328</v>
      </c>
      <c r="H176" s="6" t="s">
        <v>329</v>
      </c>
      <c r="I176" s="6" t="s">
        <v>2879</v>
      </c>
      <c r="J176" s="6" t="s">
        <v>3005</v>
      </c>
      <c r="K176" s="6" t="s">
        <v>3131</v>
      </c>
      <c r="L176" s="6" t="s">
        <v>3260</v>
      </c>
      <c r="M176" s="6" t="s">
        <v>3728</v>
      </c>
      <c r="N176" s="6" t="s">
        <v>3837</v>
      </c>
    </row>
    <row r="177" spans="1:14" x14ac:dyDescent="0.2">
      <c r="A177" s="13" t="s">
        <v>578</v>
      </c>
      <c r="B177" s="6" t="s">
        <v>1261</v>
      </c>
      <c r="C177" s="6" t="s">
        <v>1331</v>
      </c>
      <c r="D177" s="6" t="s">
        <v>1404</v>
      </c>
      <c r="E177" s="6" t="s">
        <v>1476</v>
      </c>
      <c r="F177" s="6" t="s">
        <v>1549</v>
      </c>
      <c r="G177" s="6" t="s">
        <v>578</v>
      </c>
      <c r="H177" s="6" t="s">
        <v>1686</v>
      </c>
      <c r="I177" s="6" t="s">
        <v>2880</v>
      </c>
      <c r="J177" s="6" t="s">
        <v>3006</v>
      </c>
      <c r="K177" s="6" t="s">
        <v>3132</v>
      </c>
      <c r="L177" s="6" t="s">
        <v>3261</v>
      </c>
      <c r="M177" s="6" t="s">
        <v>3729</v>
      </c>
      <c r="N177" s="6" t="s">
        <v>3838</v>
      </c>
    </row>
    <row r="178" spans="1:14" x14ac:dyDescent="0.2">
      <c r="A178" s="13" t="s">
        <v>579</v>
      </c>
      <c r="B178" s="6" t="s">
        <v>1262</v>
      </c>
      <c r="C178" s="6" t="s">
        <v>1332</v>
      </c>
      <c r="D178" s="6" t="s">
        <v>1405</v>
      </c>
      <c r="E178" s="6" t="s">
        <v>1477</v>
      </c>
      <c r="F178" s="6" t="s">
        <v>1550</v>
      </c>
      <c r="G178" s="6" t="s">
        <v>1619</v>
      </c>
      <c r="H178" s="6" t="s">
        <v>1687</v>
      </c>
      <c r="I178" s="6" t="s">
        <v>2881</v>
      </c>
      <c r="J178" s="6" t="s">
        <v>3007</v>
      </c>
      <c r="K178" s="6" t="s">
        <v>3133</v>
      </c>
      <c r="L178" s="6" t="s">
        <v>3262</v>
      </c>
      <c r="M178" s="6" t="s">
        <v>3730</v>
      </c>
      <c r="N178" s="6" t="s">
        <v>3839</v>
      </c>
    </row>
    <row r="179" spans="1:14" x14ac:dyDescent="0.2">
      <c r="A179" s="13" t="s">
        <v>0</v>
      </c>
      <c r="B179" s="6" t="s">
        <v>127</v>
      </c>
      <c r="C179" s="6" t="s">
        <v>128</v>
      </c>
      <c r="D179" s="6" t="s">
        <v>129</v>
      </c>
      <c r="E179" s="6" t="s">
        <v>130</v>
      </c>
      <c r="F179" s="6" t="s">
        <v>131</v>
      </c>
      <c r="G179" s="6" t="s">
        <v>132</v>
      </c>
      <c r="H179" s="6" t="s">
        <v>133</v>
      </c>
      <c r="I179" s="6" t="s">
        <v>2882</v>
      </c>
      <c r="J179" s="6" t="s">
        <v>133</v>
      </c>
      <c r="K179" s="6" t="s">
        <v>3134</v>
      </c>
      <c r="L179" s="6" t="s">
        <v>3263</v>
      </c>
      <c r="M179" s="6" t="s">
        <v>3731</v>
      </c>
      <c r="N179" s="6" t="s">
        <v>2882</v>
      </c>
    </row>
    <row r="180" spans="1:14" x14ac:dyDescent="0.2">
      <c r="A180" s="13" t="s">
        <v>580</v>
      </c>
      <c r="B180" s="6" t="s">
        <v>1263</v>
      </c>
      <c r="C180" s="6" t="s">
        <v>1333</v>
      </c>
      <c r="D180" s="6" t="s">
        <v>1406</v>
      </c>
      <c r="E180" s="6" t="s">
        <v>1478</v>
      </c>
      <c r="F180" s="6" t="s">
        <v>1551</v>
      </c>
      <c r="G180" s="6" t="s">
        <v>1620</v>
      </c>
      <c r="H180" s="6" t="s">
        <v>1688</v>
      </c>
      <c r="I180" s="6" t="s">
        <v>2883</v>
      </c>
      <c r="J180" s="6" t="s">
        <v>3008</v>
      </c>
      <c r="K180" s="6" t="s">
        <v>3135</v>
      </c>
      <c r="L180" s="6" t="s">
        <v>3264</v>
      </c>
      <c r="M180" s="6" t="s">
        <v>3732</v>
      </c>
      <c r="N180" s="6" t="s">
        <v>3840</v>
      </c>
    </row>
    <row r="181" spans="1:14" x14ac:dyDescent="0.2">
      <c r="A181" s="13" t="s">
        <v>581</v>
      </c>
      <c r="B181" s="6" t="s">
        <v>1264</v>
      </c>
      <c r="C181" s="6" t="s">
        <v>1334</v>
      </c>
      <c r="D181" s="6" t="s">
        <v>1407</v>
      </c>
      <c r="E181" s="6" t="s">
        <v>1479</v>
      </c>
      <c r="F181" s="6" t="s">
        <v>1552</v>
      </c>
      <c r="G181" s="6" t="s">
        <v>1621</v>
      </c>
      <c r="H181" s="6" t="s">
        <v>1689</v>
      </c>
      <c r="I181" s="6" t="s">
        <v>2884</v>
      </c>
      <c r="J181" s="6" t="s">
        <v>3009</v>
      </c>
      <c r="K181" s="6" t="s">
        <v>3136</v>
      </c>
      <c r="L181" s="6" t="s">
        <v>3265</v>
      </c>
      <c r="M181" s="6" t="s">
        <v>3733</v>
      </c>
      <c r="N181" s="6" t="s">
        <v>3841</v>
      </c>
    </row>
    <row r="182" spans="1:14" x14ac:dyDescent="0.2">
      <c r="A182" s="13" t="s">
        <v>582</v>
      </c>
      <c r="B182" s="6" t="s">
        <v>1265</v>
      </c>
      <c r="C182" s="6" t="s">
        <v>1335</v>
      </c>
      <c r="D182" s="6" t="s">
        <v>1408</v>
      </c>
      <c r="E182" s="6" t="s">
        <v>1480</v>
      </c>
      <c r="F182" s="6" t="s">
        <v>1553</v>
      </c>
      <c r="G182" s="6" t="s">
        <v>1622</v>
      </c>
      <c r="H182" s="6" t="s">
        <v>1690</v>
      </c>
      <c r="I182" s="6" t="s">
        <v>2885</v>
      </c>
      <c r="J182" s="6" t="s">
        <v>3010</v>
      </c>
      <c r="K182" s="6" t="s">
        <v>3137</v>
      </c>
      <c r="L182" s="6" t="s">
        <v>3266</v>
      </c>
      <c r="M182" s="6" t="s">
        <v>3734</v>
      </c>
      <c r="N182" s="6" t="s">
        <v>3842</v>
      </c>
    </row>
    <row r="183" spans="1:14" x14ac:dyDescent="0.2">
      <c r="A183" s="13" t="s">
        <v>583</v>
      </c>
      <c r="B183" s="6" t="s">
        <v>1266</v>
      </c>
      <c r="C183" s="6" t="s">
        <v>1336</v>
      </c>
      <c r="D183" s="6" t="s">
        <v>1409</v>
      </c>
      <c r="E183" s="6" t="s">
        <v>1481</v>
      </c>
      <c r="F183" s="6" t="s">
        <v>1554</v>
      </c>
      <c r="G183" s="6" t="s">
        <v>1623</v>
      </c>
      <c r="H183" s="6" t="s">
        <v>1691</v>
      </c>
      <c r="I183" s="6" t="s">
        <v>2886</v>
      </c>
      <c r="J183" s="6" t="s">
        <v>3011</v>
      </c>
      <c r="K183" s="6" t="s">
        <v>3138</v>
      </c>
      <c r="L183" s="6" t="s">
        <v>3267</v>
      </c>
      <c r="M183" s="6" t="s">
        <v>3735</v>
      </c>
      <c r="N183" s="6" t="s">
        <v>2886</v>
      </c>
    </row>
    <row r="184" spans="1:14" x14ac:dyDescent="0.2">
      <c r="A184" s="13" t="s">
        <v>24</v>
      </c>
      <c r="B184" s="6" t="s">
        <v>1267</v>
      </c>
      <c r="C184" s="6" t="s">
        <v>1337</v>
      </c>
      <c r="D184" s="6" t="s">
        <v>1410</v>
      </c>
      <c r="E184" s="6" t="s">
        <v>1482</v>
      </c>
      <c r="F184" s="6" t="s">
        <v>1555</v>
      </c>
      <c r="G184" s="6" t="s">
        <v>1624</v>
      </c>
      <c r="H184" s="6" t="s">
        <v>1692</v>
      </c>
      <c r="I184" s="6" t="s">
        <v>2887</v>
      </c>
      <c r="J184" s="6" t="s">
        <v>3012</v>
      </c>
      <c r="K184" s="6" t="s">
        <v>3139</v>
      </c>
      <c r="L184" s="6" t="s">
        <v>3268</v>
      </c>
      <c r="M184" s="6" t="s">
        <v>3736</v>
      </c>
      <c r="N184" s="6" t="s">
        <v>3843</v>
      </c>
    </row>
    <row r="185" spans="1:14" x14ac:dyDescent="0.2">
      <c r="A185" s="13" t="s">
        <v>1841</v>
      </c>
      <c r="B185" s="6" t="s">
        <v>1892</v>
      </c>
      <c r="C185" s="6" t="s">
        <v>1933</v>
      </c>
      <c r="D185" s="6" t="s">
        <v>1978</v>
      </c>
      <c r="E185" s="6" t="s">
        <v>2023</v>
      </c>
      <c r="F185" s="6" t="s">
        <v>2068</v>
      </c>
      <c r="G185" s="6" t="s">
        <v>1978</v>
      </c>
      <c r="H185" s="6" t="s">
        <v>2157</v>
      </c>
      <c r="I185" s="6" t="s">
        <v>2888</v>
      </c>
      <c r="J185" s="6" t="s">
        <v>3013</v>
      </c>
      <c r="K185" s="6" t="s">
        <v>3140</v>
      </c>
      <c r="L185" s="6" t="s">
        <v>3269</v>
      </c>
      <c r="M185" s="6" t="s">
        <v>3013</v>
      </c>
      <c r="N185" s="6" t="s">
        <v>2888</v>
      </c>
    </row>
    <row r="186" spans="1:14" x14ac:dyDescent="0.2">
      <c r="A186" s="13" t="s">
        <v>268</v>
      </c>
      <c r="B186" s="6" t="s">
        <v>269</v>
      </c>
      <c r="C186" s="6" t="s">
        <v>270</v>
      </c>
      <c r="D186" s="6" t="s">
        <v>271</v>
      </c>
      <c r="E186" s="6" t="s">
        <v>272</v>
      </c>
      <c r="F186" s="6" t="s">
        <v>273</v>
      </c>
      <c r="G186" s="6" t="s">
        <v>274</v>
      </c>
      <c r="H186" s="6" t="s">
        <v>275</v>
      </c>
      <c r="I186" s="6" t="s">
        <v>2889</v>
      </c>
      <c r="J186" s="6" t="s">
        <v>3014</v>
      </c>
      <c r="K186" s="6" t="s">
        <v>3141</v>
      </c>
      <c r="L186" s="6" t="s">
        <v>3270</v>
      </c>
      <c r="M186" s="6" t="s">
        <v>3737</v>
      </c>
      <c r="N186" s="6" t="s">
        <v>3844</v>
      </c>
    </row>
    <row r="187" spans="1:14" x14ac:dyDescent="0.2">
      <c r="A187" s="13" t="s">
        <v>584</v>
      </c>
      <c r="B187" s="6" t="s">
        <v>1833</v>
      </c>
      <c r="C187" s="6" t="s">
        <v>1338</v>
      </c>
      <c r="D187" s="6" t="s">
        <v>1411</v>
      </c>
      <c r="E187" s="6" t="s">
        <v>1483</v>
      </c>
      <c r="F187" s="6" t="s">
        <v>1556</v>
      </c>
      <c r="G187" s="6" t="s">
        <v>1411</v>
      </c>
      <c r="H187" s="6" t="s">
        <v>1693</v>
      </c>
      <c r="I187" s="6" t="s">
        <v>2890</v>
      </c>
      <c r="J187" s="6" t="s">
        <v>3015</v>
      </c>
      <c r="K187" s="6" t="s">
        <v>3142</v>
      </c>
      <c r="L187" s="6" t="s">
        <v>3271</v>
      </c>
      <c r="M187" s="6" t="s">
        <v>3738</v>
      </c>
      <c r="N187" s="6" t="s">
        <v>3845</v>
      </c>
    </row>
    <row r="188" spans="1:14" x14ac:dyDescent="0.2">
      <c r="A188" s="13" t="s">
        <v>2213</v>
      </c>
      <c r="B188" s="6" t="s">
        <v>2219</v>
      </c>
      <c r="C188" s="6" t="s">
        <v>2226</v>
      </c>
      <c r="D188" s="6" t="s">
        <v>2233</v>
      </c>
      <c r="E188" s="6" t="s">
        <v>2240</v>
      </c>
      <c r="F188" s="6" t="s">
        <v>2247</v>
      </c>
      <c r="G188" s="6" t="s">
        <v>2254</v>
      </c>
      <c r="H188" s="6" t="s">
        <v>2261</v>
      </c>
      <c r="I188" s="6" t="s">
        <v>2891</v>
      </c>
      <c r="J188" s="6" t="s">
        <v>3016</v>
      </c>
      <c r="K188" s="6" t="s">
        <v>3143</v>
      </c>
      <c r="L188" s="6" t="s">
        <v>3272</v>
      </c>
      <c r="M188" s="6" t="s">
        <v>3739</v>
      </c>
      <c r="N188" s="6" t="s">
        <v>3846</v>
      </c>
    </row>
    <row r="189" spans="1:14" x14ac:dyDescent="0.2">
      <c r="A189" s="13" t="s">
        <v>585</v>
      </c>
      <c r="B189" s="6" t="s">
        <v>1268</v>
      </c>
      <c r="C189" s="6" t="s">
        <v>1339</v>
      </c>
      <c r="D189" s="6" t="s">
        <v>1412</v>
      </c>
      <c r="E189" s="6" t="s">
        <v>1484</v>
      </c>
      <c r="F189" s="6" t="s">
        <v>1557</v>
      </c>
      <c r="G189" s="6" t="s">
        <v>1625</v>
      </c>
      <c r="H189" s="6" t="s">
        <v>1694</v>
      </c>
      <c r="I189" s="6" t="s">
        <v>2892</v>
      </c>
      <c r="J189" s="6" t="s">
        <v>3017</v>
      </c>
      <c r="K189" s="6" t="s">
        <v>3144</v>
      </c>
      <c r="L189" s="6" t="s">
        <v>3273</v>
      </c>
      <c r="M189" s="6" t="s">
        <v>3740</v>
      </c>
      <c r="N189" s="6" t="s">
        <v>3847</v>
      </c>
    </row>
    <row r="190" spans="1:14" x14ac:dyDescent="0.2">
      <c r="A190" s="13" t="s">
        <v>586</v>
      </c>
      <c r="B190" s="6" t="s">
        <v>1269</v>
      </c>
      <c r="C190" s="6" t="s">
        <v>1340</v>
      </c>
      <c r="D190" s="6" t="s">
        <v>1413</v>
      </c>
      <c r="E190" s="6" t="s">
        <v>1485</v>
      </c>
      <c r="F190" s="6" t="s">
        <v>1558</v>
      </c>
      <c r="G190" s="6" t="s">
        <v>1626</v>
      </c>
      <c r="H190" s="6" t="s">
        <v>1695</v>
      </c>
      <c r="I190" s="6" t="s">
        <v>2893</v>
      </c>
      <c r="J190" s="6" t="s">
        <v>3018</v>
      </c>
      <c r="K190" s="6" t="s">
        <v>3145</v>
      </c>
      <c r="L190" s="6" t="s">
        <v>3274</v>
      </c>
      <c r="M190" s="6" t="s">
        <v>3741</v>
      </c>
      <c r="N190" s="6" t="s">
        <v>3848</v>
      </c>
    </row>
    <row r="191" spans="1:14" x14ac:dyDescent="0.2">
      <c r="A191" s="13" t="s">
        <v>587</v>
      </c>
      <c r="B191" s="6" t="s">
        <v>1270</v>
      </c>
      <c r="C191" s="6" t="s">
        <v>1341</v>
      </c>
      <c r="D191" s="6" t="s">
        <v>1414</v>
      </c>
      <c r="E191" s="6" t="s">
        <v>1486</v>
      </c>
      <c r="F191" s="6" t="s">
        <v>1559</v>
      </c>
      <c r="G191" s="6" t="s">
        <v>1627</v>
      </c>
      <c r="H191" s="6" t="s">
        <v>1696</v>
      </c>
      <c r="I191" s="6" t="s">
        <v>2894</v>
      </c>
      <c r="J191" s="6" t="s">
        <v>3019</v>
      </c>
      <c r="K191" s="6" t="s">
        <v>3146</v>
      </c>
      <c r="L191" s="6" t="s">
        <v>3275</v>
      </c>
      <c r="M191" s="6" t="s">
        <v>3742</v>
      </c>
      <c r="N191" s="6" t="s">
        <v>2894</v>
      </c>
    </row>
    <row r="192" spans="1:14" x14ac:dyDescent="0.2">
      <c r="A192" s="13" t="s">
        <v>588</v>
      </c>
      <c r="B192" s="6" t="s">
        <v>1271</v>
      </c>
      <c r="C192" s="6" t="s">
        <v>1342</v>
      </c>
      <c r="D192" s="6" t="s">
        <v>1415</v>
      </c>
      <c r="E192" s="6" t="s">
        <v>1487</v>
      </c>
      <c r="F192" s="6" t="s">
        <v>1560</v>
      </c>
      <c r="G192" s="6" t="s">
        <v>1628</v>
      </c>
      <c r="H192" s="6" t="s">
        <v>1697</v>
      </c>
      <c r="I192" s="6" t="s">
        <v>2895</v>
      </c>
      <c r="J192" s="6" t="s">
        <v>3020</v>
      </c>
      <c r="K192" s="6" t="s">
        <v>3147</v>
      </c>
      <c r="L192" s="6" t="s">
        <v>3276</v>
      </c>
      <c r="M192" s="6" t="s">
        <v>3743</v>
      </c>
      <c r="N192" s="6" t="s">
        <v>3849</v>
      </c>
    </row>
    <row r="193" spans="1:14" x14ac:dyDescent="0.2">
      <c r="A193" s="13" t="s">
        <v>2264</v>
      </c>
      <c r="B193" s="6" t="s">
        <v>2278</v>
      </c>
      <c r="C193" s="6" t="s">
        <v>2276</v>
      </c>
      <c r="D193" s="6" t="s">
        <v>2274</v>
      </c>
      <c r="E193" s="6" t="s">
        <v>2272</v>
      </c>
      <c r="F193" s="6" t="s">
        <v>2270</v>
      </c>
      <c r="G193" s="6" t="s">
        <v>2268</v>
      </c>
      <c r="H193" s="6" t="s">
        <v>2266</v>
      </c>
      <c r="I193" s="6" t="s">
        <v>2896</v>
      </c>
      <c r="J193" s="6" t="s">
        <v>3021</v>
      </c>
      <c r="K193" s="6" t="s">
        <v>3148</v>
      </c>
      <c r="L193" s="6" t="s">
        <v>3277</v>
      </c>
      <c r="M193" s="6" t="s">
        <v>3744</v>
      </c>
      <c r="N193" s="6" t="s">
        <v>3850</v>
      </c>
    </row>
    <row r="194" spans="1:14" x14ac:dyDescent="0.2">
      <c r="A194" s="13" t="s">
        <v>1855</v>
      </c>
      <c r="B194" s="6" t="s">
        <v>1900</v>
      </c>
      <c r="C194" s="6" t="s">
        <v>1941</v>
      </c>
      <c r="D194" s="6" t="s">
        <v>1986</v>
      </c>
      <c r="E194" s="6" t="s">
        <v>2031</v>
      </c>
      <c r="F194" s="6" t="s">
        <v>2076</v>
      </c>
      <c r="G194" s="6" t="s">
        <v>2120</v>
      </c>
      <c r="H194" s="6" t="s">
        <v>2165</v>
      </c>
      <c r="I194" s="6" t="s">
        <v>2897</v>
      </c>
      <c r="J194" s="6" t="s">
        <v>3022</v>
      </c>
      <c r="K194" s="6" t="s">
        <v>3149</v>
      </c>
      <c r="L194" s="6" t="s">
        <v>3278</v>
      </c>
      <c r="M194" s="6" t="s">
        <v>3745</v>
      </c>
      <c r="N194" s="6" t="s">
        <v>3851</v>
      </c>
    </row>
    <row r="195" spans="1:14" x14ac:dyDescent="0.2">
      <c r="A195" s="13" t="s">
        <v>1853</v>
      </c>
      <c r="B195" s="6" t="s">
        <v>1898</v>
      </c>
      <c r="C195" s="6" t="s">
        <v>1939</v>
      </c>
      <c r="D195" s="6" t="s">
        <v>1984</v>
      </c>
      <c r="E195" s="6" t="s">
        <v>2029</v>
      </c>
      <c r="F195" s="6" t="s">
        <v>2074</v>
      </c>
      <c r="G195" s="6" t="s">
        <v>2118</v>
      </c>
      <c r="H195" s="6" t="s">
        <v>2163</v>
      </c>
      <c r="I195" s="6" t="s">
        <v>2898</v>
      </c>
      <c r="J195" s="6" t="s">
        <v>3023</v>
      </c>
      <c r="K195" s="6" t="s">
        <v>3150</v>
      </c>
      <c r="L195" s="6" t="s">
        <v>3279</v>
      </c>
      <c r="M195" s="6" t="s">
        <v>3746</v>
      </c>
      <c r="N195" s="6" t="s">
        <v>3852</v>
      </c>
    </row>
    <row r="196" spans="1:14" x14ac:dyDescent="0.2">
      <c r="A196" s="13" t="s">
        <v>1858</v>
      </c>
      <c r="B196" s="6" t="s">
        <v>1903</v>
      </c>
      <c r="C196" s="6" t="s">
        <v>1944</v>
      </c>
      <c r="D196" s="6" t="s">
        <v>1989</v>
      </c>
      <c r="E196" s="6" t="s">
        <v>2034</v>
      </c>
      <c r="F196" s="6" t="s">
        <v>2079</v>
      </c>
      <c r="G196" s="6" t="s">
        <v>2123</v>
      </c>
      <c r="H196" s="6" t="s">
        <v>2168</v>
      </c>
      <c r="I196" s="6" t="s">
        <v>2899</v>
      </c>
      <c r="J196" s="6" t="s">
        <v>3024</v>
      </c>
      <c r="K196" s="6" t="s">
        <v>3151</v>
      </c>
      <c r="L196" s="6" t="s">
        <v>3280</v>
      </c>
      <c r="M196" s="6" t="s">
        <v>3747</v>
      </c>
      <c r="N196" s="6" t="s">
        <v>2899</v>
      </c>
    </row>
    <row r="197" spans="1:14" x14ac:dyDescent="0.2">
      <c r="A197" s="13" t="s">
        <v>330</v>
      </c>
      <c r="B197" s="6" t="s">
        <v>331</v>
      </c>
      <c r="C197" s="6" t="s">
        <v>332</v>
      </c>
      <c r="D197" s="6" t="s">
        <v>333</v>
      </c>
      <c r="E197" s="6" t="s">
        <v>334</v>
      </c>
      <c r="F197" s="6" t="s">
        <v>335</v>
      </c>
      <c r="G197" s="6" t="s">
        <v>336</v>
      </c>
      <c r="H197" s="6" t="s">
        <v>1698</v>
      </c>
      <c r="I197" s="6" t="s">
        <v>2900</v>
      </c>
      <c r="J197" s="6" t="s">
        <v>3025</v>
      </c>
      <c r="K197" s="6" t="s">
        <v>3152</v>
      </c>
      <c r="L197" s="6" t="s">
        <v>3281</v>
      </c>
      <c r="M197" s="6" t="s">
        <v>3748</v>
      </c>
      <c r="N197" s="6" t="s">
        <v>3853</v>
      </c>
    </row>
    <row r="198" spans="1:14" x14ac:dyDescent="0.2">
      <c r="A198" s="13" t="s">
        <v>589</v>
      </c>
      <c r="B198" s="6" t="s">
        <v>1272</v>
      </c>
      <c r="C198" s="6" t="s">
        <v>1343</v>
      </c>
      <c r="D198" s="6" t="s">
        <v>1416</v>
      </c>
      <c r="E198" s="6" t="s">
        <v>1488</v>
      </c>
      <c r="F198" s="6" t="s">
        <v>1561</v>
      </c>
      <c r="G198" s="6" t="s">
        <v>1629</v>
      </c>
      <c r="H198" s="6" t="s">
        <v>1699</v>
      </c>
      <c r="I198" s="6" t="s">
        <v>2901</v>
      </c>
      <c r="J198" s="6" t="s">
        <v>3026</v>
      </c>
      <c r="K198" s="6" t="s">
        <v>3153</v>
      </c>
      <c r="L198" s="6" t="s">
        <v>3282</v>
      </c>
      <c r="M198" s="6" t="s">
        <v>3749</v>
      </c>
      <c r="N198" s="6" t="s">
        <v>3854</v>
      </c>
    </row>
    <row r="199" spans="1:14" x14ac:dyDescent="0.2">
      <c r="A199" s="13" t="s">
        <v>1879</v>
      </c>
      <c r="B199" s="6" t="s">
        <v>1922</v>
      </c>
      <c r="C199" s="6" t="s">
        <v>1965</v>
      </c>
      <c r="D199" s="6" t="s">
        <v>2010</v>
      </c>
      <c r="E199" s="6" t="s">
        <v>2055</v>
      </c>
      <c r="F199" s="6" t="s">
        <v>2100</v>
      </c>
      <c r="G199" s="6" t="s">
        <v>2144</v>
      </c>
      <c r="H199" s="6" t="s">
        <v>2189</v>
      </c>
      <c r="I199" s="6" t="s">
        <v>2902</v>
      </c>
      <c r="J199" s="6" t="s">
        <v>3027</v>
      </c>
      <c r="K199" s="6" t="s">
        <v>3154</v>
      </c>
      <c r="L199" s="6" t="s">
        <v>3283</v>
      </c>
      <c r="M199" s="6" t="s">
        <v>3750</v>
      </c>
      <c r="N199" s="6" t="s">
        <v>3855</v>
      </c>
    </row>
    <row r="200" spans="1:14" x14ac:dyDescent="0.2">
      <c r="A200" s="13" t="s">
        <v>1859</v>
      </c>
      <c r="B200" s="6" t="s">
        <v>1904</v>
      </c>
      <c r="C200" s="6" t="s">
        <v>1945</v>
      </c>
      <c r="D200" s="6" t="s">
        <v>1990</v>
      </c>
      <c r="E200" s="6" t="s">
        <v>2035</v>
      </c>
      <c r="F200" s="6" t="s">
        <v>2080</v>
      </c>
      <c r="G200" s="6" t="s">
        <v>2124</v>
      </c>
      <c r="H200" s="6" t="s">
        <v>2169</v>
      </c>
      <c r="I200" s="6" t="s">
        <v>2903</v>
      </c>
      <c r="J200" s="6" t="s">
        <v>3028</v>
      </c>
      <c r="K200" s="6" t="s">
        <v>3155</v>
      </c>
      <c r="L200" s="6" t="s">
        <v>3284</v>
      </c>
      <c r="M200" s="6" t="s">
        <v>3751</v>
      </c>
      <c r="N200" s="6" t="s">
        <v>3856</v>
      </c>
    </row>
    <row r="201" spans="1:14" x14ac:dyDescent="0.2">
      <c r="A201" s="13" t="s">
        <v>1852</v>
      </c>
      <c r="B201" s="6" t="s">
        <v>1897</v>
      </c>
      <c r="C201" s="6" t="s">
        <v>1938</v>
      </c>
      <c r="D201" s="6" t="s">
        <v>1983</v>
      </c>
      <c r="E201" s="6" t="s">
        <v>2028</v>
      </c>
      <c r="F201" s="6" t="s">
        <v>2073</v>
      </c>
      <c r="G201" s="6" t="s">
        <v>2117</v>
      </c>
      <c r="H201" s="6" t="s">
        <v>2162</v>
      </c>
      <c r="I201" s="6" t="s">
        <v>2904</v>
      </c>
      <c r="J201" s="6" t="s">
        <v>3029</v>
      </c>
      <c r="K201" s="6" t="s">
        <v>3156</v>
      </c>
      <c r="L201" s="6" t="s">
        <v>3285</v>
      </c>
      <c r="M201" s="6" t="s">
        <v>3752</v>
      </c>
      <c r="N201" s="6" t="s">
        <v>3857</v>
      </c>
    </row>
    <row r="202" spans="1:14" x14ac:dyDescent="0.2">
      <c r="A202" s="13" t="s">
        <v>1883</v>
      </c>
      <c r="B202" s="6" t="s">
        <v>1926</v>
      </c>
      <c r="C202" s="6" t="s">
        <v>1969</v>
      </c>
      <c r="D202" s="6" t="s">
        <v>2014</v>
      </c>
      <c r="E202" s="6" t="s">
        <v>2059</v>
      </c>
      <c r="F202" s="6" t="s">
        <v>2104</v>
      </c>
      <c r="G202" s="6" t="s">
        <v>2148</v>
      </c>
      <c r="H202" s="6" t="s">
        <v>2193</v>
      </c>
      <c r="I202" s="6" t="s">
        <v>2905</v>
      </c>
      <c r="J202" s="6" t="s">
        <v>3030</v>
      </c>
      <c r="K202" s="6" t="s">
        <v>3157</v>
      </c>
      <c r="L202" s="6" t="s">
        <v>3286</v>
      </c>
      <c r="M202" s="6" t="s">
        <v>3753</v>
      </c>
      <c r="N202" s="6" t="s">
        <v>3858</v>
      </c>
    </row>
    <row r="203" spans="1:14" x14ac:dyDescent="0.2">
      <c r="A203" s="13" t="s">
        <v>1884</v>
      </c>
      <c r="B203" s="6" t="s">
        <v>1927</v>
      </c>
      <c r="C203" s="6" t="s">
        <v>1970</v>
      </c>
      <c r="D203" s="6" t="s">
        <v>2015</v>
      </c>
      <c r="E203" s="6" t="s">
        <v>2060</v>
      </c>
      <c r="F203" s="6" t="s">
        <v>2105</v>
      </c>
      <c r="G203" s="6" t="s">
        <v>2149</v>
      </c>
      <c r="H203" s="6" t="s">
        <v>2194</v>
      </c>
      <c r="I203" s="6" t="s">
        <v>2906</v>
      </c>
      <c r="J203" s="6" t="s">
        <v>3031</v>
      </c>
      <c r="K203" s="6" t="s">
        <v>3158</v>
      </c>
      <c r="L203" s="6" t="s">
        <v>3287</v>
      </c>
      <c r="M203" s="6" t="s">
        <v>3754</v>
      </c>
      <c r="N203" s="6" t="s">
        <v>3859</v>
      </c>
    </row>
    <row r="204" spans="1:14" x14ac:dyDescent="0.2">
      <c r="A204" s="13" t="s">
        <v>1856</v>
      </c>
      <c r="B204" s="6" t="s">
        <v>1901</v>
      </c>
      <c r="C204" s="6" t="s">
        <v>1942</v>
      </c>
      <c r="D204" s="6" t="s">
        <v>1987</v>
      </c>
      <c r="E204" s="6" t="s">
        <v>2032</v>
      </c>
      <c r="F204" s="6" t="s">
        <v>2077</v>
      </c>
      <c r="G204" s="6" t="s">
        <v>2121</v>
      </c>
      <c r="H204" s="6" t="s">
        <v>2166</v>
      </c>
      <c r="I204" s="6" t="s">
        <v>2907</v>
      </c>
      <c r="J204" s="6" t="s">
        <v>3032</v>
      </c>
      <c r="K204" s="6" t="s">
        <v>3159</v>
      </c>
      <c r="L204" s="6" t="s">
        <v>3288</v>
      </c>
      <c r="M204" s="6" t="s">
        <v>3755</v>
      </c>
      <c r="N204" s="6" t="s">
        <v>3860</v>
      </c>
    </row>
    <row r="205" spans="1:14" x14ac:dyDescent="0.2">
      <c r="A205" s="13" t="s">
        <v>1863</v>
      </c>
      <c r="B205" s="6" t="s">
        <v>1908</v>
      </c>
      <c r="C205" s="6" t="s">
        <v>1949</v>
      </c>
      <c r="D205" s="6" t="s">
        <v>1994</v>
      </c>
      <c r="E205" s="6" t="s">
        <v>2039</v>
      </c>
      <c r="F205" s="6" t="s">
        <v>2084</v>
      </c>
      <c r="G205" s="6" t="s">
        <v>2128</v>
      </c>
      <c r="H205" s="6" t="s">
        <v>2173</v>
      </c>
      <c r="I205" s="6" t="s">
        <v>2908</v>
      </c>
      <c r="J205" s="6" t="s">
        <v>3033</v>
      </c>
      <c r="K205" s="6" t="s">
        <v>3160</v>
      </c>
      <c r="L205" s="6" t="s">
        <v>3289</v>
      </c>
      <c r="M205" s="6" t="s">
        <v>3756</v>
      </c>
      <c r="N205" s="6" t="s">
        <v>3861</v>
      </c>
    </row>
    <row r="206" spans="1:14" x14ac:dyDescent="0.2">
      <c r="A206" s="13" t="s">
        <v>1861</v>
      </c>
      <c r="B206" s="6" t="s">
        <v>1906</v>
      </c>
      <c r="C206" s="6" t="s">
        <v>1947</v>
      </c>
      <c r="D206" s="6" t="s">
        <v>1992</v>
      </c>
      <c r="E206" s="6" t="s">
        <v>2037</v>
      </c>
      <c r="F206" s="6" t="s">
        <v>2082</v>
      </c>
      <c r="G206" s="6" t="s">
        <v>2126</v>
      </c>
      <c r="H206" s="6" t="s">
        <v>2171</v>
      </c>
      <c r="I206" s="6" t="s">
        <v>2909</v>
      </c>
      <c r="J206" s="6" t="s">
        <v>3034</v>
      </c>
      <c r="K206" s="6" t="s">
        <v>3161</v>
      </c>
      <c r="L206" s="6" t="s">
        <v>3290</v>
      </c>
      <c r="M206" s="6" t="s">
        <v>3757</v>
      </c>
      <c r="N206" s="6" t="s">
        <v>3862</v>
      </c>
    </row>
    <row r="207" spans="1:14" x14ac:dyDescent="0.2">
      <c r="A207" s="13" t="s">
        <v>1873</v>
      </c>
      <c r="B207" s="6" t="s">
        <v>1917</v>
      </c>
      <c r="C207" s="6" t="s">
        <v>1959</v>
      </c>
      <c r="D207" s="6" t="s">
        <v>2004</v>
      </c>
      <c r="E207" s="6" t="s">
        <v>2049</v>
      </c>
      <c r="F207" s="6" t="s">
        <v>2094</v>
      </c>
      <c r="G207" s="6" t="s">
        <v>2138</v>
      </c>
      <c r="H207" s="6" t="s">
        <v>2183</v>
      </c>
      <c r="I207" s="6" t="s">
        <v>2910</v>
      </c>
      <c r="J207" s="6" t="s">
        <v>3035</v>
      </c>
      <c r="K207" s="6" t="s">
        <v>3162</v>
      </c>
      <c r="L207" s="6" t="s">
        <v>3291</v>
      </c>
      <c r="M207" s="6" t="s">
        <v>3758</v>
      </c>
      <c r="N207" s="6" t="s">
        <v>3863</v>
      </c>
    </row>
    <row r="208" spans="1:14" x14ac:dyDescent="0.2">
      <c r="A208" s="13" t="s">
        <v>590</v>
      </c>
      <c r="B208" s="6" t="s">
        <v>1273</v>
      </c>
      <c r="C208" s="6" t="s">
        <v>1344</v>
      </c>
      <c r="D208" s="6" t="s">
        <v>1417</v>
      </c>
      <c r="E208" s="6" t="s">
        <v>1489</v>
      </c>
      <c r="F208" s="6" t="s">
        <v>1562</v>
      </c>
      <c r="G208" s="6" t="s">
        <v>1630</v>
      </c>
      <c r="H208" s="6" t="s">
        <v>1700</v>
      </c>
      <c r="I208" s="6" t="s">
        <v>2911</v>
      </c>
      <c r="J208" s="6" t="s">
        <v>3036</v>
      </c>
      <c r="K208" s="6" t="s">
        <v>3163</v>
      </c>
      <c r="L208" s="6" t="s">
        <v>3292</v>
      </c>
      <c r="M208" s="6" t="s">
        <v>3759</v>
      </c>
      <c r="N208" s="6" t="s">
        <v>3864</v>
      </c>
    </row>
    <row r="209" spans="1:14" x14ac:dyDescent="0.2">
      <c r="A209" s="13" t="s">
        <v>1854</v>
      </c>
      <c r="B209" s="6" t="s">
        <v>1899</v>
      </c>
      <c r="C209" s="6" t="s">
        <v>1940</v>
      </c>
      <c r="D209" s="6" t="s">
        <v>1985</v>
      </c>
      <c r="E209" s="6" t="s">
        <v>2030</v>
      </c>
      <c r="F209" s="6" t="s">
        <v>2075</v>
      </c>
      <c r="G209" s="6" t="s">
        <v>2119</v>
      </c>
      <c r="H209" s="6" t="s">
        <v>2164</v>
      </c>
      <c r="I209" s="6" t="s">
        <v>2912</v>
      </c>
      <c r="J209" s="6" t="s">
        <v>3037</v>
      </c>
      <c r="K209" s="6" t="s">
        <v>3164</v>
      </c>
      <c r="L209" s="6" t="s">
        <v>3293</v>
      </c>
      <c r="M209" s="6" t="s">
        <v>3760</v>
      </c>
      <c r="N209" s="6" t="s">
        <v>3865</v>
      </c>
    </row>
    <row r="210" spans="1:14" x14ac:dyDescent="0.2">
      <c r="A210" s="13" t="s">
        <v>1850</v>
      </c>
      <c r="B210" s="6" t="s">
        <v>1895</v>
      </c>
      <c r="C210" s="6" t="s">
        <v>1936</v>
      </c>
      <c r="D210" s="6" t="s">
        <v>1981</v>
      </c>
      <c r="E210" s="6" t="s">
        <v>2026</v>
      </c>
      <c r="F210" s="6" t="s">
        <v>2071</v>
      </c>
      <c r="G210" s="6" t="s">
        <v>2115</v>
      </c>
      <c r="H210" s="6" t="s">
        <v>2160</v>
      </c>
      <c r="I210" s="6" t="s">
        <v>2913</v>
      </c>
      <c r="J210" s="6" t="s">
        <v>3038</v>
      </c>
      <c r="K210" s="6" t="s">
        <v>3165</v>
      </c>
      <c r="L210" s="6" t="s">
        <v>3294</v>
      </c>
      <c r="M210" s="6" t="s">
        <v>3761</v>
      </c>
      <c r="N210" s="6" t="s">
        <v>3866</v>
      </c>
    </row>
    <row r="211" spans="1:14" x14ac:dyDescent="0.2">
      <c r="A211" s="13" t="s">
        <v>591</v>
      </c>
      <c r="B211" s="6" t="s">
        <v>1274</v>
      </c>
      <c r="C211" s="6" t="s">
        <v>1345</v>
      </c>
      <c r="D211" s="6" t="s">
        <v>1418</v>
      </c>
      <c r="E211" s="6" t="s">
        <v>1490</v>
      </c>
      <c r="F211" s="6" t="s">
        <v>1563</v>
      </c>
      <c r="G211" s="6" t="s">
        <v>1631</v>
      </c>
      <c r="H211" s="6" t="s">
        <v>1701</v>
      </c>
      <c r="I211" s="6" t="s">
        <v>2914</v>
      </c>
      <c r="J211" s="6" t="s">
        <v>3039</v>
      </c>
      <c r="K211" s="6" t="s">
        <v>3166</v>
      </c>
      <c r="L211" s="6" t="s">
        <v>3295</v>
      </c>
      <c r="M211" s="6" t="s">
        <v>3762</v>
      </c>
      <c r="N211" s="6" t="s">
        <v>3867</v>
      </c>
    </row>
    <row r="212" spans="1:14" x14ac:dyDescent="0.2">
      <c r="A212" s="13" t="s">
        <v>276</v>
      </c>
      <c r="B212" s="6" t="s">
        <v>1275</v>
      </c>
      <c r="C212" s="6" t="s">
        <v>1346</v>
      </c>
      <c r="D212" s="6" t="s">
        <v>277</v>
      </c>
      <c r="E212" s="6" t="s">
        <v>278</v>
      </c>
      <c r="F212" s="6" t="s">
        <v>279</v>
      </c>
      <c r="G212" s="6" t="s">
        <v>280</v>
      </c>
      <c r="H212" s="6" t="s">
        <v>281</v>
      </c>
      <c r="I212" s="6" t="s">
        <v>2915</v>
      </c>
      <c r="J212" s="6" t="s">
        <v>3040</v>
      </c>
      <c r="K212" s="6" t="s">
        <v>3167</v>
      </c>
      <c r="L212" s="6" t="s">
        <v>3296</v>
      </c>
      <c r="M212" s="6" t="s">
        <v>3763</v>
      </c>
      <c r="N212" s="6" t="s">
        <v>3868</v>
      </c>
    </row>
    <row r="213" spans="1:14" x14ac:dyDescent="0.2">
      <c r="A213" s="13" t="s">
        <v>592</v>
      </c>
      <c r="B213" s="6" t="s">
        <v>1276</v>
      </c>
      <c r="C213" s="6" t="s">
        <v>1347</v>
      </c>
      <c r="D213" s="6" t="s">
        <v>1419</v>
      </c>
      <c r="E213" s="6" t="s">
        <v>1491</v>
      </c>
      <c r="F213" s="6" t="s">
        <v>1564</v>
      </c>
      <c r="G213" s="6" t="s">
        <v>1632</v>
      </c>
      <c r="H213" s="6" t="s">
        <v>1702</v>
      </c>
      <c r="I213" s="6" t="s">
        <v>2916</v>
      </c>
      <c r="J213" s="6" t="s">
        <v>3041</v>
      </c>
      <c r="K213" s="6" t="s">
        <v>3168</v>
      </c>
      <c r="L213" s="6" t="s">
        <v>3297</v>
      </c>
      <c r="M213" s="6" t="s">
        <v>3764</v>
      </c>
      <c r="N213" s="6" t="s">
        <v>3869</v>
      </c>
    </row>
    <row r="214" spans="1:14" x14ac:dyDescent="0.2">
      <c r="A214" s="13" t="s">
        <v>593</v>
      </c>
      <c r="B214" s="6" t="s">
        <v>1277</v>
      </c>
      <c r="C214" s="6" t="s">
        <v>1348</v>
      </c>
      <c r="D214" s="6" t="s">
        <v>1420</v>
      </c>
      <c r="E214" s="6" t="s">
        <v>1492</v>
      </c>
      <c r="F214" s="6" t="s">
        <v>1565</v>
      </c>
      <c r="G214" s="6" t="s">
        <v>1633</v>
      </c>
      <c r="H214" s="6" t="s">
        <v>1703</v>
      </c>
      <c r="I214" s="6" t="s">
        <v>2917</v>
      </c>
      <c r="J214" s="6" t="s">
        <v>3042</v>
      </c>
      <c r="K214" s="6" t="s">
        <v>3169</v>
      </c>
      <c r="L214" s="6" t="s">
        <v>3298</v>
      </c>
      <c r="M214" s="6" t="s">
        <v>3765</v>
      </c>
      <c r="N214" s="6" t="s">
        <v>3870</v>
      </c>
    </row>
    <row r="215" spans="1:14" x14ac:dyDescent="0.2">
      <c r="A215" s="13" t="s">
        <v>594</v>
      </c>
      <c r="B215" s="6" t="s">
        <v>1278</v>
      </c>
      <c r="C215" s="6" t="s">
        <v>1349</v>
      </c>
      <c r="D215" s="6" t="s">
        <v>1421</v>
      </c>
      <c r="E215" s="6" t="s">
        <v>1493</v>
      </c>
      <c r="F215" s="6" t="s">
        <v>1566</v>
      </c>
      <c r="G215" s="6" t="s">
        <v>1634</v>
      </c>
      <c r="H215" s="6" t="s">
        <v>1704</v>
      </c>
      <c r="I215" s="6" t="s">
        <v>2918</v>
      </c>
      <c r="J215" s="6" t="s">
        <v>3043</v>
      </c>
      <c r="K215" s="6" t="s">
        <v>3170</v>
      </c>
      <c r="L215" s="6" t="s">
        <v>3299</v>
      </c>
      <c r="M215" s="6" t="s">
        <v>3766</v>
      </c>
      <c r="N215" s="6" t="s">
        <v>3871</v>
      </c>
    </row>
    <row r="216" spans="1:14" x14ac:dyDescent="0.2">
      <c r="A216" s="13" t="s">
        <v>595</v>
      </c>
      <c r="B216" s="6" t="s">
        <v>1279</v>
      </c>
      <c r="C216" s="6" t="s">
        <v>1350</v>
      </c>
      <c r="D216" s="6" t="s">
        <v>1422</v>
      </c>
      <c r="E216" s="6" t="s">
        <v>1494</v>
      </c>
      <c r="F216" s="6" t="s">
        <v>1567</v>
      </c>
      <c r="G216" s="6" t="s">
        <v>1635</v>
      </c>
      <c r="H216" s="6" t="s">
        <v>1705</v>
      </c>
      <c r="I216" s="6" t="s">
        <v>2919</v>
      </c>
      <c r="J216" s="6" t="s">
        <v>3044</v>
      </c>
      <c r="K216" s="6" t="s">
        <v>3171</v>
      </c>
      <c r="L216" s="6" t="s">
        <v>3300</v>
      </c>
      <c r="M216" s="6" t="s">
        <v>3767</v>
      </c>
      <c r="N216" s="6" t="s">
        <v>3872</v>
      </c>
    </row>
    <row r="217" spans="1:14" x14ac:dyDescent="0.2">
      <c r="A217" s="13" t="s">
        <v>596</v>
      </c>
      <c r="B217" s="6" t="s">
        <v>1280</v>
      </c>
      <c r="C217" s="6" t="s">
        <v>1351</v>
      </c>
      <c r="D217" s="6" t="s">
        <v>1423</v>
      </c>
      <c r="E217" s="6" t="s">
        <v>1495</v>
      </c>
      <c r="F217" s="6" t="s">
        <v>1568</v>
      </c>
      <c r="G217" s="6" t="s">
        <v>1636</v>
      </c>
      <c r="H217" s="6" t="s">
        <v>1706</v>
      </c>
      <c r="I217" s="6" t="s">
        <v>2920</v>
      </c>
      <c r="J217" s="6" t="s">
        <v>3045</v>
      </c>
      <c r="K217" s="6" t="s">
        <v>3172</v>
      </c>
      <c r="L217" s="6" t="s">
        <v>3301</v>
      </c>
      <c r="M217" s="6" t="s">
        <v>3768</v>
      </c>
      <c r="N217" s="6" t="s">
        <v>3873</v>
      </c>
    </row>
    <row r="218" spans="1:14" x14ac:dyDescent="0.2">
      <c r="A218" s="13" t="s">
        <v>597</v>
      </c>
      <c r="B218" s="6" t="s">
        <v>1281</v>
      </c>
      <c r="C218" s="6" t="s">
        <v>1352</v>
      </c>
      <c r="D218" s="6" t="s">
        <v>1424</v>
      </c>
      <c r="E218" s="6" t="s">
        <v>1496</v>
      </c>
      <c r="F218" s="6" t="s">
        <v>1569</v>
      </c>
      <c r="G218" s="6" t="s">
        <v>1637</v>
      </c>
      <c r="H218" s="6" t="s">
        <v>1707</v>
      </c>
      <c r="I218" s="6" t="s">
        <v>2921</v>
      </c>
      <c r="J218" s="6" t="s">
        <v>3046</v>
      </c>
      <c r="K218" s="6" t="s">
        <v>3173</v>
      </c>
      <c r="L218" s="6" t="s">
        <v>3302</v>
      </c>
      <c r="M218" s="6" t="s">
        <v>3769</v>
      </c>
      <c r="N218" s="6" t="s">
        <v>3874</v>
      </c>
    </row>
    <row r="219" spans="1:14" x14ac:dyDescent="0.2">
      <c r="A219" s="13" t="s">
        <v>1835</v>
      </c>
      <c r="B219" s="6" t="s">
        <v>1889</v>
      </c>
      <c r="C219" s="6" t="s">
        <v>1930</v>
      </c>
      <c r="D219" s="6" t="s">
        <v>1975</v>
      </c>
      <c r="E219" s="6" t="s">
        <v>2020</v>
      </c>
      <c r="F219" s="6" t="s">
        <v>2065</v>
      </c>
      <c r="G219" s="6" t="s">
        <v>2110</v>
      </c>
      <c r="H219" s="6" t="s">
        <v>2154</v>
      </c>
      <c r="I219" s="6" t="s">
        <v>2922</v>
      </c>
      <c r="J219" s="6" t="s">
        <v>3047</v>
      </c>
      <c r="K219" s="6" t="s">
        <v>3174</v>
      </c>
      <c r="L219" s="6" t="s">
        <v>3303</v>
      </c>
      <c r="M219" s="6" t="s">
        <v>3770</v>
      </c>
      <c r="N219" s="6" t="s">
        <v>3875</v>
      </c>
    </row>
    <row r="220" spans="1:14" x14ac:dyDescent="0.2">
      <c r="A220" s="13" t="s">
        <v>185</v>
      </c>
      <c r="B220" s="6" t="s">
        <v>1282</v>
      </c>
      <c r="C220" s="6" t="s">
        <v>1353</v>
      </c>
      <c r="D220" s="6" t="s">
        <v>186</v>
      </c>
      <c r="E220" s="6" t="s">
        <v>187</v>
      </c>
      <c r="F220" s="6" t="s">
        <v>188</v>
      </c>
      <c r="G220" s="6" t="s">
        <v>189</v>
      </c>
      <c r="H220" s="6" t="s">
        <v>190</v>
      </c>
      <c r="I220" s="6" t="s">
        <v>2923</v>
      </c>
      <c r="J220" s="6" t="s">
        <v>3048</v>
      </c>
      <c r="K220" s="6" t="s">
        <v>3175</v>
      </c>
      <c r="L220" s="6" t="s">
        <v>3304</v>
      </c>
      <c r="M220" s="6" t="s">
        <v>3771</v>
      </c>
      <c r="N220" s="6" t="s">
        <v>3876</v>
      </c>
    </row>
    <row r="221" spans="1:14" x14ac:dyDescent="0.2">
      <c r="A221" s="13" t="s">
        <v>1885</v>
      </c>
      <c r="B221" s="6" t="s">
        <v>3460</v>
      </c>
      <c r="C221" s="6" t="s">
        <v>1972</v>
      </c>
      <c r="D221" s="6" t="s">
        <v>2017</v>
      </c>
      <c r="E221" s="6" t="s">
        <v>2062</v>
      </c>
      <c r="F221" s="6" t="s">
        <v>2107</v>
      </c>
      <c r="G221" s="6" t="s">
        <v>2151</v>
      </c>
      <c r="H221" s="6" t="s">
        <v>2196</v>
      </c>
      <c r="I221" s="6" t="s">
        <v>2924</v>
      </c>
      <c r="J221" s="6" t="s">
        <v>3049</v>
      </c>
      <c r="K221" s="6" t="s">
        <v>3176</v>
      </c>
      <c r="L221" s="6" t="s">
        <v>3305</v>
      </c>
      <c r="M221" s="6" t="s">
        <v>3772</v>
      </c>
      <c r="N221" s="6" t="s">
        <v>3877</v>
      </c>
    </row>
    <row r="222" spans="1:14" x14ac:dyDescent="0.2">
      <c r="A222" s="13" t="s">
        <v>219</v>
      </c>
      <c r="B222" s="6" t="s">
        <v>220</v>
      </c>
      <c r="C222" s="6" t="s">
        <v>221</v>
      </c>
      <c r="D222" s="6" t="s">
        <v>222</v>
      </c>
      <c r="E222" s="6" t="s">
        <v>223</v>
      </c>
      <c r="F222" s="6" t="s">
        <v>224</v>
      </c>
      <c r="G222" s="6" t="s">
        <v>225</v>
      </c>
      <c r="H222" s="6" t="s">
        <v>226</v>
      </c>
      <c r="I222" s="6" t="s">
        <v>2925</v>
      </c>
      <c r="J222" s="6" t="s">
        <v>3050</v>
      </c>
      <c r="K222" s="6" t="s">
        <v>3177</v>
      </c>
      <c r="L222" s="6" t="s">
        <v>3306</v>
      </c>
      <c r="M222" s="6" t="s">
        <v>3773</v>
      </c>
      <c r="N222" s="6" t="s">
        <v>3878</v>
      </c>
    </row>
    <row r="223" spans="1:14" x14ac:dyDescent="0.2">
      <c r="A223" s="13" t="s">
        <v>598</v>
      </c>
      <c r="B223" s="6" t="s">
        <v>1283</v>
      </c>
      <c r="C223" s="6" t="s">
        <v>1354</v>
      </c>
      <c r="D223" s="6" t="s">
        <v>1425</v>
      </c>
      <c r="E223" s="6" t="s">
        <v>1497</v>
      </c>
      <c r="F223" s="6" t="s">
        <v>1570</v>
      </c>
      <c r="G223" s="6" t="s">
        <v>1638</v>
      </c>
      <c r="H223" s="6" t="s">
        <v>1708</v>
      </c>
      <c r="I223" s="6" t="s">
        <v>2926</v>
      </c>
      <c r="J223" s="6" t="s">
        <v>3051</v>
      </c>
      <c r="K223" s="6" t="s">
        <v>3178</v>
      </c>
      <c r="L223" s="6" t="s">
        <v>3307</v>
      </c>
      <c r="M223" s="6" t="s">
        <v>3774</v>
      </c>
      <c r="N223" s="6" t="s">
        <v>3879</v>
      </c>
    </row>
    <row r="224" spans="1:14" x14ac:dyDescent="0.2">
      <c r="A224" s="13" t="s">
        <v>599</v>
      </c>
      <c r="B224" s="6" t="s">
        <v>1284</v>
      </c>
      <c r="C224" s="6" t="s">
        <v>1355</v>
      </c>
      <c r="D224" s="6" t="s">
        <v>1426</v>
      </c>
      <c r="E224" s="6" t="s">
        <v>1498</v>
      </c>
      <c r="F224" s="6" t="s">
        <v>1571</v>
      </c>
      <c r="G224" s="6" t="s">
        <v>1639</v>
      </c>
      <c r="H224" s="6" t="s">
        <v>1709</v>
      </c>
      <c r="I224" s="6" t="s">
        <v>2927</v>
      </c>
      <c r="J224" s="6" t="s">
        <v>3052</v>
      </c>
      <c r="K224" s="6" t="s">
        <v>3179</v>
      </c>
      <c r="L224" s="6" t="s">
        <v>3308</v>
      </c>
      <c r="M224" s="6" t="s">
        <v>3775</v>
      </c>
      <c r="N224" s="6" t="s">
        <v>3880</v>
      </c>
    </row>
    <row r="225" spans="1:14" x14ac:dyDescent="0.2">
      <c r="A225" s="13" t="s">
        <v>14</v>
      </c>
      <c r="B225" s="6" t="s">
        <v>1285</v>
      </c>
      <c r="C225" s="6" t="s">
        <v>1356</v>
      </c>
      <c r="D225" s="6" t="s">
        <v>1427</v>
      </c>
      <c r="E225" s="6" t="s">
        <v>1499</v>
      </c>
      <c r="F225" s="6" t="s">
        <v>1572</v>
      </c>
      <c r="G225" s="6" t="s">
        <v>1640</v>
      </c>
      <c r="H225" s="6" t="s">
        <v>1710</v>
      </c>
      <c r="I225" s="6" t="s">
        <v>2928</v>
      </c>
      <c r="J225" s="6" t="s">
        <v>3053</v>
      </c>
      <c r="K225" s="6" t="s">
        <v>3180</v>
      </c>
      <c r="L225" s="6" t="s">
        <v>3309</v>
      </c>
      <c r="M225" s="6" t="s">
        <v>3776</v>
      </c>
      <c r="N225" s="6" t="s">
        <v>3881</v>
      </c>
    </row>
    <row r="226" spans="1:14" x14ac:dyDescent="0.2">
      <c r="A226" s="13" t="s">
        <v>600</v>
      </c>
      <c r="B226" s="6" t="s">
        <v>1888</v>
      </c>
      <c r="C226" s="6" t="s">
        <v>1357</v>
      </c>
      <c r="D226" s="6" t="s">
        <v>1428</v>
      </c>
      <c r="E226" s="6" t="s">
        <v>1500</v>
      </c>
      <c r="F226" s="6" t="s">
        <v>1573</v>
      </c>
      <c r="G226" s="6" t="s">
        <v>1641</v>
      </c>
      <c r="H226" s="6" t="s">
        <v>1711</v>
      </c>
      <c r="I226" s="6" t="s">
        <v>2929</v>
      </c>
      <c r="J226" s="6" t="s">
        <v>3054</v>
      </c>
      <c r="K226" s="6" t="s">
        <v>3181</v>
      </c>
      <c r="L226" s="6" t="s">
        <v>3310</v>
      </c>
      <c r="M226" s="6" t="s">
        <v>3777</v>
      </c>
      <c r="N226" s="6" t="s">
        <v>3882</v>
      </c>
    </row>
    <row r="227" spans="1:14" x14ac:dyDescent="0.2">
      <c r="A227" s="13" t="s">
        <v>245</v>
      </c>
      <c r="B227" s="6" t="s">
        <v>246</v>
      </c>
      <c r="C227" s="6" t="s">
        <v>247</v>
      </c>
      <c r="D227" s="6" t="s">
        <v>248</v>
      </c>
      <c r="E227" s="6" t="s">
        <v>249</v>
      </c>
      <c r="F227" s="6" t="s">
        <v>250</v>
      </c>
      <c r="G227" s="6" t="s">
        <v>251</v>
      </c>
      <c r="H227" s="6" t="s">
        <v>252</v>
      </c>
      <c r="I227" s="6" t="s">
        <v>2930</v>
      </c>
      <c r="J227" s="6" t="s">
        <v>3055</v>
      </c>
      <c r="K227" s="6" t="s">
        <v>3182</v>
      </c>
      <c r="L227" s="6" t="s">
        <v>3311</v>
      </c>
      <c r="M227" s="6" t="s">
        <v>3778</v>
      </c>
      <c r="N227" s="6" t="s">
        <v>3883</v>
      </c>
    </row>
    <row r="228" spans="1:14" x14ac:dyDescent="0.2">
      <c r="A228" s="13" t="s">
        <v>307</v>
      </c>
      <c r="B228" s="6" t="s">
        <v>308</v>
      </c>
      <c r="C228" s="6" t="s">
        <v>309</v>
      </c>
      <c r="D228" s="6" t="s">
        <v>310</v>
      </c>
      <c r="E228" s="6" t="s">
        <v>311</v>
      </c>
      <c r="F228" s="6" t="s">
        <v>312</v>
      </c>
      <c r="G228" s="6" t="s">
        <v>313</v>
      </c>
      <c r="H228" s="6" t="s">
        <v>314</v>
      </c>
      <c r="I228" s="6" t="s">
        <v>2931</v>
      </c>
      <c r="J228" s="6" t="s">
        <v>3056</v>
      </c>
      <c r="K228" s="6" t="s">
        <v>3183</v>
      </c>
      <c r="L228" s="6" t="s">
        <v>3312</v>
      </c>
      <c r="M228" s="6" t="s">
        <v>3779</v>
      </c>
      <c r="N228" s="6" t="s">
        <v>2931</v>
      </c>
    </row>
    <row r="229" spans="1:14" x14ac:dyDescent="0.2">
      <c r="A229" s="13" t="s">
        <v>2</v>
      </c>
      <c r="B229" s="6" t="s">
        <v>140</v>
      </c>
      <c r="C229" s="6" t="s">
        <v>141</v>
      </c>
      <c r="D229" s="6" t="s">
        <v>142</v>
      </c>
      <c r="E229" s="6" t="s">
        <v>143</v>
      </c>
      <c r="F229" s="6" t="s">
        <v>144</v>
      </c>
      <c r="G229" s="6" t="s">
        <v>142</v>
      </c>
      <c r="H229" s="6" t="s">
        <v>145</v>
      </c>
      <c r="I229" s="6" t="s">
        <v>2932</v>
      </c>
      <c r="J229" s="6" t="s">
        <v>3057</v>
      </c>
      <c r="K229" s="6" t="s">
        <v>3184</v>
      </c>
      <c r="L229" s="6" t="s">
        <v>3313</v>
      </c>
      <c r="M229" s="6" t="s">
        <v>3780</v>
      </c>
      <c r="N229" s="6" t="s">
        <v>2932</v>
      </c>
    </row>
    <row r="230" spans="1:14" x14ac:dyDescent="0.2">
      <c r="A230" s="13" t="s">
        <v>1875</v>
      </c>
      <c r="B230" s="6" t="s">
        <v>1919</v>
      </c>
      <c r="C230" s="6" t="s">
        <v>1961</v>
      </c>
      <c r="D230" s="6" t="s">
        <v>2006</v>
      </c>
      <c r="E230" s="6" t="s">
        <v>2051</v>
      </c>
      <c r="F230" s="6" t="s">
        <v>2096</v>
      </c>
      <c r="G230" s="6" t="s">
        <v>2140</v>
      </c>
      <c r="H230" s="6" t="s">
        <v>2185</v>
      </c>
      <c r="I230" s="6" t="s">
        <v>2933</v>
      </c>
      <c r="J230" s="6" t="s">
        <v>3058</v>
      </c>
      <c r="K230" s="6" t="s">
        <v>3185</v>
      </c>
      <c r="L230" s="6" t="s">
        <v>3314</v>
      </c>
      <c r="M230" s="6" t="s">
        <v>3781</v>
      </c>
      <c r="N230" s="6" t="s">
        <v>3884</v>
      </c>
    </row>
    <row r="231" spans="1:14" x14ac:dyDescent="0.2">
      <c r="A231" s="13" t="s">
        <v>601</v>
      </c>
      <c r="B231" s="6" t="s">
        <v>1286</v>
      </c>
      <c r="C231" s="6" t="s">
        <v>1358</v>
      </c>
      <c r="D231" s="6" t="s">
        <v>1429</v>
      </c>
      <c r="E231" s="6" t="s">
        <v>1501</v>
      </c>
      <c r="F231" s="6" t="s">
        <v>1574</v>
      </c>
      <c r="G231" s="6" t="s">
        <v>1642</v>
      </c>
      <c r="H231" s="6" t="s">
        <v>1712</v>
      </c>
      <c r="I231" s="6" t="s">
        <v>2934</v>
      </c>
      <c r="J231" s="6" t="s">
        <v>3059</v>
      </c>
      <c r="K231" s="6" t="s">
        <v>3186</v>
      </c>
      <c r="L231" s="6" t="s">
        <v>3315</v>
      </c>
      <c r="M231" s="6" t="s">
        <v>3782</v>
      </c>
      <c r="N231" s="6" t="s">
        <v>3885</v>
      </c>
    </row>
    <row r="232" spans="1:14" x14ac:dyDescent="0.2">
      <c r="A232" s="13" t="s">
        <v>602</v>
      </c>
      <c r="B232" s="6" t="s">
        <v>1287</v>
      </c>
      <c r="C232" s="6" t="s">
        <v>1359</v>
      </c>
      <c r="D232" s="6" t="s">
        <v>1430</v>
      </c>
      <c r="E232" s="6" t="s">
        <v>1502</v>
      </c>
      <c r="F232" s="6" t="s">
        <v>1575</v>
      </c>
      <c r="G232" s="6" t="s">
        <v>1643</v>
      </c>
      <c r="H232" s="6" t="s">
        <v>1713</v>
      </c>
      <c r="I232" s="6" t="s">
        <v>2935</v>
      </c>
      <c r="J232" s="6" t="s">
        <v>3060</v>
      </c>
      <c r="K232" s="6" t="s">
        <v>3187</v>
      </c>
      <c r="L232" s="6" t="s">
        <v>3316</v>
      </c>
      <c r="M232" s="6" t="s">
        <v>3783</v>
      </c>
      <c r="N232" s="6" t="s">
        <v>3886</v>
      </c>
    </row>
    <row r="233" spans="1:14" x14ac:dyDescent="0.2">
      <c r="A233" s="13" t="s">
        <v>603</v>
      </c>
      <c r="B233" s="6" t="s">
        <v>1288</v>
      </c>
      <c r="C233" s="6" t="s">
        <v>1360</v>
      </c>
      <c r="D233" s="6" t="s">
        <v>1431</v>
      </c>
      <c r="E233" s="6" t="s">
        <v>1503</v>
      </c>
      <c r="F233" s="6" t="s">
        <v>1576</v>
      </c>
      <c r="G233" s="6" t="s">
        <v>1644</v>
      </c>
      <c r="H233" s="6" t="s">
        <v>1714</v>
      </c>
      <c r="I233" s="6" t="s">
        <v>2936</v>
      </c>
      <c r="J233" s="6" t="s">
        <v>3061</v>
      </c>
      <c r="K233" s="6" t="s">
        <v>3188</v>
      </c>
      <c r="L233" s="6" t="s">
        <v>3317</v>
      </c>
      <c r="M233" s="6" t="s">
        <v>3784</v>
      </c>
      <c r="N233" s="6" t="s">
        <v>3887</v>
      </c>
    </row>
    <row r="234" spans="1:14" x14ac:dyDescent="0.2">
      <c r="A234" s="13" t="s">
        <v>604</v>
      </c>
      <c r="B234" s="6" t="s">
        <v>1289</v>
      </c>
      <c r="C234" s="6" t="s">
        <v>1361</v>
      </c>
      <c r="D234" s="6" t="s">
        <v>1432</v>
      </c>
      <c r="E234" s="6" t="s">
        <v>1504</v>
      </c>
      <c r="F234" s="6" t="s">
        <v>1577</v>
      </c>
      <c r="G234" s="6" t="s">
        <v>1645</v>
      </c>
      <c r="H234" s="6" t="s">
        <v>1715</v>
      </c>
      <c r="I234" s="6" t="s">
        <v>2937</v>
      </c>
      <c r="J234" s="6" t="s">
        <v>3062</v>
      </c>
      <c r="K234" s="6" t="s">
        <v>3189</v>
      </c>
      <c r="L234" s="6" t="s">
        <v>3318</v>
      </c>
      <c r="M234" s="6" t="s">
        <v>3785</v>
      </c>
      <c r="N234" s="6" t="s">
        <v>3888</v>
      </c>
    </row>
    <row r="235" spans="1:14" x14ac:dyDescent="0.2">
      <c r="A235" s="13" t="s">
        <v>17</v>
      </c>
      <c r="B235" s="6" t="s">
        <v>1290</v>
      </c>
      <c r="C235" s="6" t="s">
        <v>1362</v>
      </c>
      <c r="D235" s="6" t="s">
        <v>1433</v>
      </c>
      <c r="E235" s="6" t="s">
        <v>1505</v>
      </c>
      <c r="F235" s="6" t="s">
        <v>1578</v>
      </c>
      <c r="G235" s="6" t="s">
        <v>1646</v>
      </c>
      <c r="H235" s="6" t="s">
        <v>1716</v>
      </c>
      <c r="I235" s="6" t="s">
        <v>2938</v>
      </c>
      <c r="J235" s="6" t="s">
        <v>3063</v>
      </c>
      <c r="K235" s="6" t="s">
        <v>3190</v>
      </c>
      <c r="L235" s="6" t="s">
        <v>3319</v>
      </c>
      <c r="M235" s="6" t="s">
        <v>3786</v>
      </c>
      <c r="N235" s="6" t="s">
        <v>2938</v>
      </c>
    </row>
    <row r="236" spans="1:14" x14ac:dyDescent="0.2">
      <c r="A236" s="13" t="s">
        <v>605</v>
      </c>
      <c r="B236" s="6" t="s">
        <v>1291</v>
      </c>
      <c r="C236" s="6" t="s">
        <v>1363</v>
      </c>
      <c r="D236" s="6" t="s">
        <v>1434</v>
      </c>
      <c r="E236" s="6" t="s">
        <v>1506</v>
      </c>
      <c r="F236" s="6" t="s">
        <v>1579</v>
      </c>
      <c r="G236" s="6" t="s">
        <v>605</v>
      </c>
      <c r="H236" s="6" t="s">
        <v>605</v>
      </c>
      <c r="I236" s="6" t="s">
        <v>2939</v>
      </c>
      <c r="J236" s="6" t="s">
        <v>3064</v>
      </c>
      <c r="K236" s="6" t="s">
        <v>3191</v>
      </c>
      <c r="L236" s="6" t="s">
        <v>3320</v>
      </c>
      <c r="M236" s="6" t="s">
        <v>605</v>
      </c>
      <c r="N236" s="6" t="s">
        <v>3889</v>
      </c>
    </row>
    <row r="237" spans="1:14" x14ac:dyDescent="0.2">
      <c r="A237" s="13" t="s">
        <v>606</v>
      </c>
      <c r="B237" s="6" t="s">
        <v>1292</v>
      </c>
      <c r="C237" s="6" t="s">
        <v>606</v>
      </c>
      <c r="D237" s="6" t="s">
        <v>1435</v>
      </c>
      <c r="E237" s="6" t="s">
        <v>1507</v>
      </c>
      <c r="F237" s="6" t="s">
        <v>1580</v>
      </c>
      <c r="G237" s="6" t="s">
        <v>606</v>
      </c>
      <c r="H237" s="6" t="s">
        <v>1717</v>
      </c>
      <c r="I237" s="6" t="s">
        <v>2940</v>
      </c>
      <c r="J237" s="6" t="s">
        <v>3065</v>
      </c>
      <c r="K237" s="6" t="s">
        <v>3192</v>
      </c>
      <c r="L237" s="6" t="s">
        <v>3321</v>
      </c>
      <c r="M237" s="6" t="s">
        <v>3787</v>
      </c>
      <c r="N237" s="6" t="s">
        <v>3890</v>
      </c>
    </row>
    <row r="238" spans="1:14" x14ac:dyDescent="0.2">
      <c r="A238" s="13" t="s">
        <v>340</v>
      </c>
      <c r="B238" s="6" t="s">
        <v>1293</v>
      </c>
      <c r="C238" s="6" t="s">
        <v>340</v>
      </c>
      <c r="D238" s="6" t="s">
        <v>399</v>
      </c>
      <c r="E238" s="6" t="s">
        <v>418</v>
      </c>
      <c r="F238" s="6" t="s">
        <v>435</v>
      </c>
      <c r="G238" s="6" t="s">
        <v>340</v>
      </c>
      <c r="H238" s="6" t="s">
        <v>340</v>
      </c>
      <c r="I238" s="6" t="s">
        <v>340</v>
      </c>
      <c r="J238" s="6" t="s">
        <v>2334</v>
      </c>
      <c r="K238" s="6" t="s">
        <v>2358</v>
      </c>
      <c r="L238" s="6" t="s">
        <v>2383</v>
      </c>
      <c r="M238" s="6" t="s">
        <v>3788</v>
      </c>
      <c r="N238" s="6" t="s">
        <v>3891</v>
      </c>
    </row>
    <row r="239" spans="1:14" x14ac:dyDescent="0.2">
      <c r="A239" s="13" t="s">
        <v>607</v>
      </c>
      <c r="B239" s="6" t="s">
        <v>1831</v>
      </c>
      <c r="C239" s="6" t="s">
        <v>1364</v>
      </c>
      <c r="D239" s="6" t="s">
        <v>1436</v>
      </c>
      <c r="E239" s="6" t="s">
        <v>1508</v>
      </c>
      <c r="F239" s="6" t="s">
        <v>1581</v>
      </c>
      <c r="G239" s="6" t="s">
        <v>1647</v>
      </c>
      <c r="H239" s="6" t="s">
        <v>1718</v>
      </c>
      <c r="I239" s="6" t="s">
        <v>2941</v>
      </c>
      <c r="J239" s="6" t="s">
        <v>3066</v>
      </c>
      <c r="K239" s="6" t="s">
        <v>3193</v>
      </c>
      <c r="L239" s="6" t="s">
        <v>3322</v>
      </c>
      <c r="M239" s="6" t="s">
        <v>3789</v>
      </c>
      <c r="N239" s="6" t="s">
        <v>3892</v>
      </c>
    </row>
    <row r="240" spans="1:14" x14ac:dyDescent="0.2">
      <c r="A240" s="13" t="s">
        <v>20</v>
      </c>
      <c r="B240" s="6" t="s">
        <v>1294</v>
      </c>
      <c r="C240" s="6" t="s">
        <v>1365</v>
      </c>
      <c r="D240" s="6" t="s">
        <v>1437</v>
      </c>
      <c r="E240" s="6" t="s">
        <v>1509</v>
      </c>
      <c r="F240" s="6" t="s">
        <v>1582</v>
      </c>
      <c r="G240" s="6" t="s">
        <v>1648</v>
      </c>
      <c r="H240" s="6" t="s">
        <v>1719</v>
      </c>
      <c r="I240" s="6" t="s">
        <v>2942</v>
      </c>
      <c r="J240" s="6" t="s">
        <v>3067</v>
      </c>
      <c r="K240" s="6" t="s">
        <v>3194</v>
      </c>
      <c r="L240" s="6" t="s">
        <v>3323</v>
      </c>
      <c r="M240" s="6" t="s">
        <v>3790</v>
      </c>
      <c r="N240" s="6" t="s">
        <v>3893</v>
      </c>
    </row>
    <row r="241" spans="1:14" x14ac:dyDescent="0.2">
      <c r="A241" s="13" t="s">
        <v>253</v>
      </c>
      <c r="B241" s="6" t="s">
        <v>254</v>
      </c>
      <c r="C241" s="6" t="s">
        <v>255</v>
      </c>
      <c r="D241" s="6" t="s">
        <v>256</v>
      </c>
      <c r="E241" s="6" t="s">
        <v>1510</v>
      </c>
      <c r="F241" s="6" t="s">
        <v>257</v>
      </c>
      <c r="G241" s="6" t="s">
        <v>258</v>
      </c>
      <c r="H241" s="6" t="s">
        <v>259</v>
      </c>
      <c r="I241" s="6" t="s">
        <v>3426</v>
      </c>
      <c r="J241" s="6" t="s">
        <v>3392</v>
      </c>
      <c r="K241" s="6" t="s">
        <v>3358</v>
      </c>
      <c r="L241" s="6" t="s">
        <v>3324</v>
      </c>
      <c r="M241" s="6" t="s">
        <v>3929</v>
      </c>
      <c r="N241" s="6" t="s">
        <v>3894</v>
      </c>
    </row>
    <row r="242" spans="1:14" x14ac:dyDescent="0.2">
      <c r="A242" s="13" t="s">
        <v>608</v>
      </c>
      <c r="B242" s="6" t="s">
        <v>1830</v>
      </c>
      <c r="C242" s="6" t="s">
        <v>1366</v>
      </c>
      <c r="D242" s="6" t="s">
        <v>1438</v>
      </c>
      <c r="E242" s="6" t="s">
        <v>1511</v>
      </c>
      <c r="F242" s="6" t="s">
        <v>1583</v>
      </c>
      <c r="G242" s="6" t="s">
        <v>1649</v>
      </c>
      <c r="H242" s="6" t="s">
        <v>1720</v>
      </c>
      <c r="I242" s="6" t="s">
        <v>3427</v>
      </c>
      <c r="J242" s="6" t="s">
        <v>3393</v>
      </c>
      <c r="K242" s="6" t="s">
        <v>3359</v>
      </c>
      <c r="L242" s="6" t="s">
        <v>3325</v>
      </c>
      <c r="M242" s="6" t="s">
        <v>3930</v>
      </c>
      <c r="N242" s="6" t="s">
        <v>3895</v>
      </c>
    </row>
    <row r="243" spans="1:14" x14ac:dyDescent="0.2">
      <c r="A243" s="13" t="s">
        <v>609</v>
      </c>
      <c r="B243" s="6" t="s">
        <v>1295</v>
      </c>
      <c r="C243" s="6" t="s">
        <v>1367</v>
      </c>
      <c r="D243" s="6" t="s">
        <v>1439</v>
      </c>
      <c r="E243" s="6" t="s">
        <v>1512</v>
      </c>
      <c r="F243" s="6" t="s">
        <v>1584</v>
      </c>
      <c r="G243" s="6" t="s">
        <v>1650</v>
      </c>
      <c r="H243" s="6" t="s">
        <v>1721</v>
      </c>
      <c r="I243" s="6" t="s">
        <v>3428</v>
      </c>
      <c r="J243" s="6" t="s">
        <v>3394</v>
      </c>
      <c r="K243" s="6" t="s">
        <v>3360</v>
      </c>
      <c r="L243" s="6" t="s">
        <v>3326</v>
      </c>
      <c r="M243" s="6" t="s">
        <v>3931</v>
      </c>
      <c r="N243" s="6" t="s">
        <v>3896</v>
      </c>
    </row>
    <row r="244" spans="1:14" x14ac:dyDescent="0.2">
      <c r="A244" s="13" t="s">
        <v>610</v>
      </c>
      <c r="B244" s="6" t="s">
        <v>1296</v>
      </c>
      <c r="C244" s="6" t="s">
        <v>1368</v>
      </c>
      <c r="D244" s="6" t="s">
        <v>1440</v>
      </c>
      <c r="E244" s="6" t="s">
        <v>1513</v>
      </c>
      <c r="F244" s="6" t="s">
        <v>1585</v>
      </c>
      <c r="G244" s="6" t="s">
        <v>1651</v>
      </c>
      <c r="H244" s="6" t="s">
        <v>1722</v>
      </c>
      <c r="I244" s="6" t="s">
        <v>3429</v>
      </c>
      <c r="J244" s="6" t="s">
        <v>3395</v>
      </c>
      <c r="K244" s="6" t="s">
        <v>3361</v>
      </c>
      <c r="L244" s="6" t="s">
        <v>3327</v>
      </c>
      <c r="M244" s="6" t="s">
        <v>3932</v>
      </c>
      <c r="N244" s="6" t="s">
        <v>3897</v>
      </c>
    </row>
    <row r="245" spans="1:14" x14ac:dyDescent="0.2">
      <c r="A245" s="13" t="s">
        <v>611</v>
      </c>
      <c r="B245" s="6" t="s">
        <v>1297</v>
      </c>
      <c r="C245" s="6" t="s">
        <v>1369</v>
      </c>
      <c r="D245" s="6" t="s">
        <v>1441</v>
      </c>
      <c r="E245" s="6" t="s">
        <v>1514</v>
      </c>
      <c r="F245" s="6" t="s">
        <v>1586</v>
      </c>
      <c r="G245" s="6" t="s">
        <v>1652</v>
      </c>
      <c r="H245" s="6" t="s">
        <v>1723</v>
      </c>
      <c r="I245" s="6" t="s">
        <v>3430</v>
      </c>
      <c r="J245" s="6" t="s">
        <v>3396</v>
      </c>
      <c r="K245" s="6" t="s">
        <v>3362</v>
      </c>
      <c r="L245" s="6" t="s">
        <v>3328</v>
      </c>
      <c r="M245" s="6" t="s">
        <v>3933</v>
      </c>
      <c r="N245" s="6" t="s">
        <v>3898</v>
      </c>
    </row>
    <row r="246" spans="1:14" x14ac:dyDescent="0.2">
      <c r="A246" s="13" t="s">
        <v>612</v>
      </c>
      <c r="B246" s="6" t="s">
        <v>1298</v>
      </c>
      <c r="C246" s="6" t="s">
        <v>1370</v>
      </c>
      <c r="D246" s="6" t="s">
        <v>1442</v>
      </c>
      <c r="E246" s="6" t="s">
        <v>1515</v>
      </c>
      <c r="F246" s="6" t="s">
        <v>1587</v>
      </c>
      <c r="G246" s="6" t="s">
        <v>1653</v>
      </c>
      <c r="H246" s="6" t="s">
        <v>1724</v>
      </c>
      <c r="I246" s="6" t="s">
        <v>3431</v>
      </c>
      <c r="J246" s="6" t="s">
        <v>3397</v>
      </c>
      <c r="K246" s="6" t="s">
        <v>3363</v>
      </c>
      <c r="L246" s="6" t="s">
        <v>3329</v>
      </c>
      <c r="M246" s="6" t="s">
        <v>3934</v>
      </c>
      <c r="N246" s="6" t="s">
        <v>3899</v>
      </c>
    </row>
    <row r="247" spans="1:14" x14ac:dyDescent="0.2">
      <c r="A247" s="13" t="s">
        <v>613</v>
      </c>
      <c r="B247" s="6" t="s">
        <v>1299</v>
      </c>
      <c r="C247" s="6" t="s">
        <v>1371</v>
      </c>
      <c r="D247" s="6" t="s">
        <v>1443</v>
      </c>
      <c r="E247" s="6" t="s">
        <v>1516</v>
      </c>
      <c r="F247" s="6" t="s">
        <v>1588</v>
      </c>
      <c r="G247" s="6" t="s">
        <v>1654</v>
      </c>
      <c r="H247" s="6" t="s">
        <v>1725</v>
      </c>
      <c r="I247" s="6" t="s">
        <v>3432</v>
      </c>
      <c r="J247" s="6" t="s">
        <v>3398</v>
      </c>
      <c r="K247" s="6" t="s">
        <v>3364</v>
      </c>
      <c r="L247" s="6" t="s">
        <v>3330</v>
      </c>
      <c r="M247" s="6" t="s">
        <v>3935</v>
      </c>
      <c r="N247" s="6" t="s">
        <v>3900</v>
      </c>
    </row>
    <row r="248" spans="1:14" x14ac:dyDescent="0.2">
      <c r="A248" s="13" t="s">
        <v>614</v>
      </c>
      <c r="B248" s="6" t="s">
        <v>1300</v>
      </c>
      <c r="C248" s="6" t="s">
        <v>1372</v>
      </c>
      <c r="D248" s="6" t="s">
        <v>1444</v>
      </c>
      <c r="E248" s="6" t="s">
        <v>1517</v>
      </c>
      <c r="F248" s="6" t="s">
        <v>1589</v>
      </c>
      <c r="G248" s="6" t="s">
        <v>1655</v>
      </c>
      <c r="H248" s="6" t="s">
        <v>1726</v>
      </c>
      <c r="I248" s="6" t="s">
        <v>3433</v>
      </c>
      <c r="J248" s="6" t="s">
        <v>3399</v>
      </c>
      <c r="K248" s="6" t="s">
        <v>3365</v>
      </c>
      <c r="L248" s="6" t="s">
        <v>3331</v>
      </c>
      <c r="M248" s="6" t="s">
        <v>3936</v>
      </c>
      <c r="N248" s="6" t="s">
        <v>3901</v>
      </c>
    </row>
    <row r="249" spans="1:14" x14ac:dyDescent="0.2">
      <c r="A249" s="13" t="s">
        <v>302</v>
      </c>
      <c r="B249" s="6" t="s">
        <v>1301</v>
      </c>
      <c r="C249" s="6" t="s">
        <v>303</v>
      </c>
      <c r="D249" s="6" t="s">
        <v>1445</v>
      </c>
      <c r="E249" s="6" t="s">
        <v>1518</v>
      </c>
      <c r="F249" s="6" t="s">
        <v>304</v>
      </c>
      <c r="G249" s="6" t="s">
        <v>305</v>
      </c>
      <c r="H249" s="6" t="s">
        <v>306</v>
      </c>
      <c r="I249" s="6" t="s">
        <v>3434</v>
      </c>
      <c r="J249" s="6" t="s">
        <v>3400</v>
      </c>
      <c r="K249" s="6" t="s">
        <v>3366</v>
      </c>
      <c r="L249" s="6" t="s">
        <v>3332</v>
      </c>
      <c r="M249" s="6" t="s">
        <v>3937</v>
      </c>
      <c r="N249" s="6" t="s">
        <v>3902</v>
      </c>
    </row>
    <row r="250" spans="1:14" x14ac:dyDescent="0.2">
      <c r="A250" s="13" t="s">
        <v>615</v>
      </c>
      <c r="B250" s="6" t="s">
        <v>1302</v>
      </c>
      <c r="C250" s="6" t="s">
        <v>1373</v>
      </c>
      <c r="D250" s="6" t="s">
        <v>1446</v>
      </c>
      <c r="E250" s="6" t="s">
        <v>1519</v>
      </c>
      <c r="F250" s="6" t="s">
        <v>1590</v>
      </c>
      <c r="G250" s="6" t="s">
        <v>1656</v>
      </c>
      <c r="H250" s="6" t="s">
        <v>1727</v>
      </c>
      <c r="I250" s="6" t="s">
        <v>3435</v>
      </c>
      <c r="J250" s="6" t="s">
        <v>3401</v>
      </c>
      <c r="K250" s="6" t="s">
        <v>3367</v>
      </c>
      <c r="L250" s="6" t="s">
        <v>3333</v>
      </c>
      <c r="M250" s="6" t="s">
        <v>3938</v>
      </c>
      <c r="N250" s="6" t="s">
        <v>3903</v>
      </c>
    </row>
    <row r="251" spans="1:14" x14ac:dyDescent="0.2">
      <c r="A251" s="13" t="s">
        <v>616</v>
      </c>
      <c r="B251" s="6" t="s">
        <v>1832</v>
      </c>
      <c r="C251" s="6" t="s">
        <v>1374</v>
      </c>
      <c r="D251" s="6" t="s">
        <v>1447</v>
      </c>
      <c r="E251" s="6" t="s">
        <v>1520</v>
      </c>
      <c r="F251" s="6" t="s">
        <v>1591</v>
      </c>
      <c r="G251" s="6" t="s">
        <v>1657</v>
      </c>
      <c r="H251" s="6" t="s">
        <v>1728</v>
      </c>
      <c r="I251" s="6" t="s">
        <v>3436</v>
      </c>
      <c r="J251" s="6" t="s">
        <v>3402</v>
      </c>
      <c r="K251" s="6" t="s">
        <v>3368</v>
      </c>
      <c r="L251" s="6" t="s">
        <v>3334</v>
      </c>
      <c r="M251" s="6" t="s">
        <v>3939</v>
      </c>
      <c r="N251" s="6" t="s">
        <v>3904</v>
      </c>
    </row>
    <row r="252" spans="1:14" x14ac:dyDescent="0.2">
      <c r="A252" s="13" t="s">
        <v>1847</v>
      </c>
      <c r="B252" s="6" t="s">
        <v>1928</v>
      </c>
      <c r="C252" s="6" t="s">
        <v>1971</v>
      </c>
      <c r="D252" s="6" t="s">
        <v>2016</v>
      </c>
      <c r="E252" s="6" t="s">
        <v>2061</v>
      </c>
      <c r="F252" s="6" t="s">
        <v>2106</v>
      </c>
      <c r="G252" s="6" t="s">
        <v>2150</v>
      </c>
      <c r="H252" s="6" t="s">
        <v>2195</v>
      </c>
      <c r="I252" s="6" t="s">
        <v>3437</v>
      </c>
      <c r="J252" s="6" t="s">
        <v>3403</v>
      </c>
      <c r="K252" s="6" t="s">
        <v>3369</v>
      </c>
      <c r="L252" s="6" t="s">
        <v>3335</v>
      </c>
      <c r="M252" s="6" t="s">
        <v>3940</v>
      </c>
      <c r="N252" s="6" t="s">
        <v>3905</v>
      </c>
    </row>
    <row r="253" spans="1:14" x14ac:dyDescent="0.2">
      <c r="A253" s="13" t="s">
        <v>1887</v>
      </c>
      <c r="B253" s="6" t="s">
        <v>1929</v>
      </c>
      <c r="C253" s="6" t="s">
        <v>1974</v>
      </c>
      <c r="D253" s="6" t="s">
        <v>2019</v>
      </c>
      <c r="E253" s="6" t="s">
        <v>2064</v>
      </c>
      <c r="F253" s="6" t="s">
        <v>2109</v>
      </c>
      <c r="G253" s="6" t="s">
        <v>2153</v>
      </c>
      <c r="H253" s="6" t="s">
        <v>2198</v>
      </c>
      <c r="I253" s="6" t="s">
        <v>3438</v>
      </c>
      <c r="J253" s="6" t="s">
        <v>3404</v>
      </c>
      <c r="K253" s="6" t="s">
        <v>3370</v>
      </c>
      <c r="L253" s="6" t="s">
        <v>3336</v>
      </c>
      <c r="M253" s="6" t="s">
        <v>3941</v>
      </c>
      <c r="N253" s="6" t="s">
        <v>3906</v>
      </c>
    </row>
    <row r="254" spans="1:14" x14ac:dyDescent="0.2">
      <c r="A254" s="13" t="s">
        <v>617</v>
      </c>
      <c r="B254" s="6" t="s">
        <v>1303</v>
      </c>
      <c r="C254" s="6" t="s">
        <v>1375</v>
      </c>
      <c r="D254" s="6" t="s">
        <v>1448</v>
      </c>
      <c r="E254" s="6" t="s">
        <v>1521</v>
      </c>
      <c r="F254" s="6" t="s">
        <v>1592</v>
      </c>
      <c r="G254" s="6" t="s">
        <v>1658</v>
      </c>
      <c r="H254" s="6" t="s">
        <v>1729</v>
      </c>
      <c r="I254" s="6" t="s">
        <v>3439</v>
      </c>
      <c r="J254" s="6" t="s">
        <v>3405</v>
      </c>
      <c r="K254" s="6" t="s">
        <v>3371</v>
      </c>
      <c r="L254" s="6" t="s">
        <v>3337</v>
      </c>
      <c r="M254" s="6" t="s">
        <v>3942</v>
      </c>
      <c r="N254" s="6" t="s">
        <v>3907</v>
      </c>
    </row>
    <row r="255" spans="1:14" x14ac:dyDescent="0.2">
      <c r="A255" s="13" t="s">
        <v>87</v>
      </c>
      <c r="B255" s="6" t="s">
        <v>374</v>
      </c>
      <c r="C255" s="6" t="s">
        <v>88</v>
      </c>
      <c r="D255" s="6" t="s">
        <v>89</v>
      </c>
      <c r="E255" s="6" t="s">
        <v>90</v>
      </c>
      <c r="F255" s="6" t="s">
        <v>91</v>
      </c>
      <c r="G255" s="6" t="s">
        <v>92</v>
      </c>
      <c r="H255" s="6" t="s">
        <v>93</v>
      </c>
      <c r="I255" s="6" t="s">
        <v>2332</v>
      </c>
      <c r="J255" s="6" t="s">
        <v>2356</v>
      </c>
      <c r="K255" s="6" t="s">
        <v>2381</v>
      </c>
      <c r="L255" s="6" t="s">
        <v>2405</v>
      </c>
      <c r="M255" s="6" t="s">
        <v>3943</v>
      </c>
      <c r="N255" s="6" t="s">
        <v>3908</v>
      </c>
    </row>
    <row r="256" spans="1:14" x14ac:dyDescent="0.2">
      <c r="A256" s="13" t="s">
        <v>618</v>
      </c>
      <c r="B256" s="6" t="s">
        <v>1304</v>
      </c>
      <c r="C256" s="6" t="s">
        <v>1376</v>
      </c>
      <c r="D256" s="6" t="s">
        <v>1449</v>
      </c>
      <c r="E256" s="6" t="s">
        <v>1522</v>
      </c>
      <c r="F256" s="6" t="s">
        <v>1593</v>
      </c>
      <c r="G256" s="6" t="s">
        <v>1659</v>
      </c>
      <c r="H256" s="6" t="s">
        <v>1730</v>
      </c>
      <c r="I256" s="6" t="s">
        <v>3440</v>
      </c>
      <c r="J256" s="6" t="s">
        <v>3406</v>
      </c>
      <c r="K256" s="6" t="s">
        <v>3372</v>
      </c>
      <c r="L256" s="6" t="s">
        <v>3338</v>
      </c>
      <c r="M256" s="6" t="s">
        <v>3944</v>
      </c>
      <c r="N256" s="6" t="s">
        <v>3909</v>
      </c>
    </row>
    <row r="257" spans="1:14" x14ac:dyDescent="0.2">
      <c r="A257" s="13" t="s">
        <v>619</v>
      </c>
      <c r="B257" s="6" t="s">
        <v>1305</v>
      </c>
      <c r="C257" s="6" t="s">
        <v>1377</v>
      </c>
      <c r="D257" s="6" t="s">
        <v>1450</v>
      </c>
      <c r="E257" s="6" t="s">
        <v>1523</v>
      </c>
      <c r="F257" s="6" t="s">
        <v>1594</v>
      </c>
      <c r="G257" s="6" t="s">
        <v>1660</v>
      </c>
      <c r="H257" s="6" t="s">
        <v>1731</v>
      </c>
      <c r="I257" s="6" t="s">
        <v>3441</v>
      </c>
      <c r="J257" s="6" t="s">
        <v>3407</v>
      </c>
      <c r="K257" s="6" t="s">
        <v>3373</v>
      </c>
      <c r="L257" s="6" t="s">
        <v>3339</v>
      </c>
      <c r="M257" s="6" t="s">
        <v>3945</v>
      </c>
      <c r="N257" s="6" t="s">
        <v>3910</v>
      </c>
    </row>
    <row r="258" spans="1:14" x14ac:dyDescent="0.2">
      <c r="A258" s="13" t="s">
        <v>620</v>
      </c>
      <c r="B258" s="6" t="s">
        <v>1306</v>
      </c>
      <c r="C258" s="6" t="s">
        <v>1378</v>
      </c>
      <c r="D258" s="6" t="s">
        <v>1451</v>
      </c>
      <c r="E258" s="6" t="s">
        <v>1524</v>
      </c>
      <c r="F258" s="6" t="s">
        <v>1595</v>
      </c>
      <c r="G258" s="6" t="s">
        <v>1661</v>
      </c>
      <c r="H258" s="6" t="s">
        <v>1732</v>
      </c>
      <c r="I258" s="6" t="s">
        <v>3442</v>
      </c>
      <c r="J258" s="6" t="s">
        <v>3408</v>
      </c>
      <c r="K258" s="6" t="s">
        <v>3374</v>
      </c>
      <c r="L258" s="6" t="s">
        <v>3340</v>
      </c>
      <c r="M258" s="6" t="s">
        <v>3946</v>
      </c>
      <c r="N258" s="6" t="s">
        <v>3911</v>
      </c>
    </row>
    <row r="259" spans="1:14" x14ac:dyDescent="0.2">
      <c r="A259" s="13" t="s">
        <v>621</v>
      </c>
      <c r="B259" s="6" t="s">
        <v>1307</v>
      </c>
      <c r="C259" s="6" t="s">
        <v>1379</v>
      </c>
      <c r="D259" s="6" t="s">
        <v>1452</v>
      </c>
      <c r="E259" s="6" t="s">
        <v>1525</v>
      </c>
      <c r="F259" s="6" t="s">
        <v>1596</v>
      </c>
      <c r="G259" s="6" t="s">
        <v>1662</v>
      </c>
      <c r="H259" s="6" t="s">
        <v>1733</v>
      </c>
      <c r="I259" s="6" t="s">
        <v>3443</v>
      </c>
      <c r="J259" s="6" t="s">
        <v>3409</v>
      </c>
      <c r="K259" s="6" t="s">
        <v>3375</v>
      </c>
      <c r="L259" s="6" t="s">
        <v>3341</v>
      </c>
      <c r="M259" s="6" t="s">
        <v>3947</v>
      </c>
      <c r="N259" s="6" t="s">
        <v>3912</v>
      </c>
    </row>
    <row r="260" spans="1:14" x14ac:dyDescent="0.2">
      <c r="A260" s="13" t="s">
        <v>622</v>
      </c>
      <c r="B260" s="6" t="s">
        <v>1308</v>
      </c>
      <c r="C260" s="6" t="s">
        <v>1380</v>
      </c>
      <c r="D260" s="6" t="s">
        <v>1453</v>
      </c>
      <c r="E260" s="6" t="s">
        <v>1526</v>
      </c>
      <c r="F260" s="6" t="s">
        <v>1597</v>
      </c>
      <c r="G260" s="6" t="s">
        <v>1663</v>
      </c>
      <c r="H260" s="6" t="s">
        <v>1734</v>
      </c>
      <c r="I260" s="6" t="s">
        <v>3444</v>
      </c>
      <c r="J260" s="6" t="s">
        <v>3410</v>
      </c>
      <c r="K260" s="6" t="s">
        <v>3376</v>
      </c>
      <c r="L260" s="6" t="s">
        <v>3342</v>
      </c>
      <c r="M260" s="6" t="s">
        <v>3948</v>
      </c>
      <c r="N260" s="6" t="s">
        <v>3913</v>
      </c>
    </row>
    <row r="261" spans="1:14" x14ac:dyDescent="0.2">
      <c r="A261" s="13" t="s">
        <v>623</v>
      </c>
      <c r="B261" s="6" t="s">
        <v>1309</v>
      </c>
      <c r="C261" s="6" t="s">
        <v>1381</v>
      </c>
      <c r="D261" s="6" t="s">
        <v>1454</v>
      </c>
      <c r="E261" s="6" t="s">
        <v>1527</v>
      </c>
      <c r="F261" s="6" t="s">
        <v>1598</v>
      </c>
      <c r="G261" s="6" t="s">
        <v>1664</v>
      </c>
      <c r="H261" s="6" t="s">
        <v>1735</v>
      </c>
      <c r="I261" s="6" t="s">
        <v>3445</v>
      </c>
      <c r="J261" s="6" t="s">
        <v>3411</v>
      </c>
      <c r="K261" s="6" t="s">
        <v>3377</v>
      </c>
      <c r="L261" s="6" t="s">
        <v>3343</v>
      </c>
      <c r="M261" s="6" t="s">
        <v>3949</v>
      </c>
      <c r="N261" s="6" t="s">
        <v>3914</v>
      </c>
    </row>
    <row r="262" spans="1:14" x14ac:dyDescent="0.2">
      <c r="A262" s="13" t="s">
        <v>624</v>
      </c>
      <c r="B262" s="6" t="s">
        <v>1810</v>
      </c>
      <c r="C262" s="6" t="s">
        <v>1798</v>
      </c>
      <c r="D262" s="6" t="s">
        <v>1785</v>
      </c>
      <c r="E262" s="6" t="s">
        <v>1773</v>
      </c>
      <c r="F262" s="6" t="s">
        <v>1761</v>
      </c>
      <c r="G262" s="6" t="s">
        <v>1748</v>
      </c>
      <c r="H262" s="6" t="s">
        <v>1741</v>
      </c>
      <c r="I262" s="6" t="s">
        <v>3446</v>
      </c>
      <c r="J262" s="6" t="s">
        <v>3412</v>
      </c>
      <c r="K262" s="6" t="s">
        <v>3378</v>
      </c>
      <c r="L262" s="6" t="s">
        <v>3344</v>
      </c>
      <c r="M262" s="6" t="s">
        <v>3950</v>
      </c>
      <c r="N262" s="6" t="s">
        <v>3915</v>
      </c>
    </row>
    <row r="263" spans="1:14" x14ac:dyDescent="0.2">
      <c r="A263" s="13" t="s">
        <v>625</v>
      </c>
      <c r="B263" s="6" t="s">
        <v>1811</v>
      </c>
      <c r="C263" s="6" t="s">
        <v>1799</v>
      </c>
      <c r="D263" s="6" t="s">
        <v>1786</v>
      </c>
      <c r="E263" s="6" t="s">
        <v>1774</v>
      </c>
      <c r="F263" s="6" t="s">
        <v>1762</v>
      </c>
      <c r="G263" s="6" t="s">
        <v>1749</v>
      </c>
      <c r="H263" s="6" t="s">
        <v>1742</v>
      </c>
      <c r="I263" s="6" t="s">
        <v>3447</v>
      </c>
      <c r="J263" s="6" t="s">
        <v>3413</v>
      </c>
      <c r="K263" s="6" t="s">
        <v>3379</v>
      </c>
      <c r="L263" s="6" t="s">
        <v>3345</v>
      </c>
      <c r="M263" s="6" t="s">
        <v>3951</v>
      </c>
      <c r="N263" s="6" t="s">
        <v>3916</v>
      </c>
    </row>
    <row r="264" spans="1:14" x14ac:dyDescent="0.2">
      <c r="A264" s="13" t="s">
        <v>626</v>
      </c>
      <c r="B264" s="6" t="s">
        <v>1812</v>
      </c>
      <c r="C264" s="6" t="s">
        <v>1800</v>
      </c>
      <c r="D264" s="6" t="s">
        <v>1787</v>
      </c>
      <c r="E264" s="6" t="s">
        <v>1775</v>
      </c>
      <c r="F264" s="6" t="s">
        <v>1763</v>
      </c>
      <c r="G264" s="6" t="s">
        <v>1750</v>
      </c>
      <c r="H264" s="6" t="s">
        <v>1743</v>
      </c>
      <c r="I264" s="6" t="s">
        <v>3448</v>
      </c>
      <c r="J264" s="6" t="s">
        <v>3414</v>
      </c>
      <c r="K264" s="6" t="s">
        <v>3380</v>
      </c>
      <c r="L264" s="6" t="s">
        <v>3346</v>
      </c>
      <c r="M264" s="6" t="s">
        <v>3952</v>
      </c>
      <c r="N264" s="6" t="s">
        <v>3917</v>
      </c>
    </row>
    <row r="265" spans="1:14" x14ac:dyDescent="0.2">
      <c r="A265" s="13" t="s">
        <v>627</v>
      </c>
      <c r="B265" s="6" t="s">
        <v>1813</v>
      </c>
      <c r="C265" s="6" t="s">
        <v>1801</v>
      </c>
      <c r="D265" s="6" t="s">
        <v>1788</v>
      </c>
      <c r="E265" s="6" t="s">
        <v>1776</v>
      </c>
      <c r="F265" s="6" t="s">
        <v>1764</v>
      </c>
      <c r="G265" s="6" t="s">
        <v>1751</v>
      </c>
      <c r="H265" s="6" t="s">
        <v>1744</v>
      </c>
      <c r="I265" s="6" t="s">
        <v>3449</v>
      </c>
      <c r="J265" s="6" t="s">
        <v>3415</v>
      </c>
      <c r="K265" s="6" t="s">
        <v>3381</v>
      </c>
      <c r="L265" s="6" t="s">
        <v>3347</v>
      </c>
      <c r="M265" s="6" t="s">
        <v>3953</v>
      </c>
      <c r="N265" s="6" t="s">
        <v>3918</v>
      </c>
    </row>
    <row r="266" spans="1:14" x14ac:dyDescent="0.2">
      <c r="A266" s="13" t="s">
        <v>628</v>
      </c>
      <c r="B266" s="6" t="s">
        <v>1814</v>
      </c>
      <c r="C266" s="6" t="s">
        <v>1802</v>
      </c>
      <c r="D266" s="6" t="s">
        <v>1789</v>
      </c>
      <c r="E266" s="6" t="s">
        <v>1777</v>
      </c>
      <c r="F266" s="6" t="s">
        <v>1765</v>
      </c>
      <c r="G266" s="6" t="s">
        <v>1752</v>
      </c>
      <c r="H266" s="6" t="s">
        <v>1745</v>
      </c>
      <c r="I266" s="6" t="s">
        <v>3450</v>
      </c>
      <c r="J266" s="6" t="s">
        <v>3416</v>
      </c>
      <c r="K266" s="6" t="s">
        <v>3382</v>
      </c>
      <c r="L266" s="6" t="s">
        <v>3348</v>
      </c>
      <c r="M266" s="6" t="s">
        <v>3954</v>
      </c>
      <c r="N266" s="6" t="s">
        <v>3919</v>
      </c>
    </row>
    <row r="267" spans="1:14" x14ac:dyDescent="0.2">
      <c r="A267" s="13" t="s">
        <v>629</v>
      </c>
      <c r="B267" s="6" t="s">
        <v>1846</v>
      </c>
      <c r="C267" s="6" t="s">
        <v>1803</v>
      </c>
      <c r="D267" s="6" t="s">
        <v>1790</v>
      </c>
      <c r="E267" s="6" t="s">
        <v>1778</v>
      </c>
      <c r="F267" s="6" t="s">
        <v>1766</v>
      </c>
      <c r="G267" s="6" t="s">
        <v>1753</v>
      </c>
      <c r="H267" s="6" t="s">
        <v>1746</v>
      </c>
      <c r="I267" s="6" t="s">
        <v>3451</v>
      </c>
      <c r="J267" s="6" t="s">
        <v>3417</v>
      </c>
      <c r="K267" s="6" t="s">
        <v>3383</v>
      </c>
      <c r="L267" s="6" t="s">
        <v>3349</v>
      </c>
      <c r="M267" s="6" t="s">
        <v>3955</v>
      </c>
      <c r="N267" s="6" t="s">
        <v>3920</v>
      </c>
    </row>
    <row r="268" spans="1:14" x14ac:dyDescent="0.2">
      <c r="A268" s="13" t="s">
        <v>630</v>
      </c>
      <c r="B268" s="6" t="s">
        <v>1815</v>
      </c>
      <c r="C268" s="6" t="s">
        <v>1804</v>
      </c>
      <c r="D268" s="6" t="s">
        <v>1791</v>
      </c>
      <c r="E268" s="6" t="s">
        <v>1779</v>
      </c>
      <c r="F268" s="6" t="s">
        <v>1767</v>
      </c>
      <c r="G268" s="6" t="s">
        <v>1754</v>
      </c>
      <c r="H268" s="6" t="s">
        <v>1747</v>
      </c>
      <c r="I268" s="6" t="s">
        <v>3452</v>
      </c>
      <c r="J268" s="6" t="s">
        <v>3418</v>
      </c>
      <c r="K268" s="6" t="s">
        <v>3384</v>
      </c>
      <c r="L268" s="6" t="s">
        <v>3350</v>
      </c>
      <c r="M268" s="6" t="s">
        <v>3956</v>
      </c>
      <c r="N268" s="6" t="s">
        <v>3921</v>
      </c>
    </row>
    <row r="269" spans="1:14" x14ac:dyDescent="0.2">
      <c r="A269" s="13" t="s">
        <v>13</v>
      </c>
      <c r="B269" s="6" t="s">
        <v>161</v>
      </c>
      <c r="C269" s="6" t="s">
        <v>162</v>
      </c>
      <c r="D269" s="6" t="s">
        <v>1792</v>
      </c>
      <c r="E269" s="6" t="s">
        <v>163</v>
      </c>
      <c r="F269" s="6" t="s">
        <v>4019</v>
      </c>
      <c r="G269" s="6" t="s">
        <v>1755</v>
      </c>
      <c r="H269" s="6" t="s">
        <v>164</v>
      </c>
      <c r="I269" s="6" t="s">
        <v>3453</v>
      </c>
      <c r="J269" s="6" t="s">
        <v>3419</v>
      </c>
      <c r="K269" s="6" t="s">
        <v>3385</v>
      </c>
      <c r="L269" s="6" t="s">
        <v>3351</v>
      </c>
      <c r="M269" s="6" t="s">
        <v>3957</v>
      </c>
      <c r="N269" s="6" t="s">
        <v>3922</v>
      </c>
    </row>
    <row r="270" spans="1:14" x14ac:dyDescent="0.2">
      <c r="A270" s="13" t="s">
        <v>631</v>
      </c>
      <c r="B270" s="6" t="s">
        <v>1816</v>
      </c>
      <c r="C270" s="6" t="s">
        <v>1805</v>
      </c>
      <c r="D270" s="6" t="s">
        <v>1793</v>
      </c>
      <c r="E270" s="6" t="s">
        <v>1780</v>
      </c>
      <c r="F270" s="6" t="s">
        <v>1768</v>
      </c>
      <c r="G270" s="6" t="s">
        <v>1756</v>
      </c>
      <c r="H270" s="6" t="s">
        <v>1736</v>
      </c>
      <c r="I270" s="6" t="s">
        <v>3454</v>
      </c>
      <c r="J270" s="6" t="s">
        <v>3420</v>
      </c>
      <c r="K270" s="6" t="s">
        <v>3386</v>
      </c>
      <c r="L270" s="6" t="s">
        <v>3352</v>
      </c>
      <c r="M270" s="6" t="s">
        <v>3958</v>
      </c>
      <c r="N270" s="6" t="s">
        <v>3923</v>
      </c>
    </row>
    <row r="271" spans="1:14" x14ac:dyDescent="0.2">
      <c r="A271" s="13" t="s">
        <v>32</v>
      </c>
      <c r="B271" s="6" t="s">
        <v>1820</v>
      </c>
      <c r="C271" s="6" t="s">
        <v>1806</v>
      </c>
      <c r="D271" s="6" t="s">
        <v>1794</v>
      </c>
      <c r="E271" s="6" t="s">
        <v>1781</v>
      </c>
      <c r="F271" s="6" t="s">
        <v>1769</v>
      </c>
      <c r="G271" s="6" t="s">
        <v>1757</v>
      </c>
      <c r="H271" s="6" t="s">
        <v>1737</v>
      </c>
      <c r="I271" s="6" t="s">
        <v>3455</v>
      </c>
      <c r="J271" s="6" t="s">
        <v>3421</v>
      </c>
      <c r="K271" s="6" t="s">
        <v>3387</v>
      </c>
      <c r="L271" s="6" t="s">
        <v>3353</v>
      </c>
      <c r="M271" s="6" t="s">
        <v>3959</v>
      </c>
      <c r="N271" s="6" t="s">
        <v>3924</v>
      </c>
    </row>
    <row r="272" spans="1:14" x14ac:dyDescent="0.2">
      <c r="A272" s="13" t="s">
        <v>28</v>
      </c>
      <c r="B272" s="6" t="s">
        <v>1819</v>
      </c>
      <c r="C272" s="6" t="s">
        <v>1807</v>
      </c>
      <c r="D272" s="6" t="s">
        <v>1795</v>
      </c>
      <c r="E272" s="6" t="s">
        <v>1782</v>
      </c>
      <c r="F272" s="6" t="s">
        <v>1770</v>
      </c>
      <c r="G272" s="6" t="s">
        <v>1758</v>
      </c>
      <c r="H272" s="6" t="s">
        <v>1738</v>
      </c>
      <c r="I272" s="6" t="s">
        <v>3456</v>
      </c>
      <c r="J272" s="6" t="s">
        <v>3422</v>
      </c>
      <c r="K272" s="6" t="s">
        <v>3388</v>
      </c>
      <c r="L272" s="6" t="s">
        <v>3354</v>
      </c>
      <c r="M272" s="6" t="s">
        <v>3960</v>
      </c>
      <c r="N272" s="6" t="s">
        <v>3925</v>
      </c>
    </row>
    <row r="273" spans="1:14" x14ac:dyDescent="0.2">
      <c r="A273" s="13" t="s">
        <v>632</v>
      </c>
      <c r="B273" s="6" t="s">
        <v>1817</v>
      </c>
      <c r="C273" s="6" t="s">
        <v>1808</v>
      </c>
      <c r="D273" s="6" t="s">
        <v>1796</v>
      </c>
      <c r="E273" s="6" t="s">
        <v>1783</v>
      </c>
      <c r="F273" s="6" t="s">
        <v>1771</v>
      </c>
      <c r="G273" s="6" t="s">
        <v>1759</v>
      </c>
      <c r="H273" s="6" t="s">
        <v>1739</v>
      </c>
      <c r="I273" s="6" t="s">
        <v>3457</v>
      </c>
      <c r="J273" s="6" t="s">
        <v>3423</v>
      </c>
      <c r="K273" s="6" t="s">
        <v>3389</v>
      </c>
      <c r="L273" s="6" t="s">
        <v>3355</v>
      </c>
      <c r="M273" s="6" t="s">
        <v>3961</v>
      </c>
      <c r="N273" s="6" t="s">
        <v>3926</v>
      </c>
    </row>
    <row r="274" spans="1:14" x14ac:dyDescent="0.2">
      <c r="A274" s="13" t="s">
        <v>633</v>
      </c>
      <c r="B274" s="6" t="s">
        <v>1818</v>
      </c>
      <c r="C274" s="6" t="s">
        <v>1809</v>
      </c>
      <c r="D274" s="6" t="s">
        <v>1797</v>
      </c>
      <c r="E274" s="6" t="s">
        <v>1784</v>
      </c>
      <c r="F274" s="6" t="s">
        <v>1772</v>
      </c>
      <c r="G274" s="6" t="s">
        <v>1760</v>
      </c>
      <c r="H274" s="6" t="s">
        <v>1740</v>
      </c>
      <c r="I274" s="6" t="s">
        <v>3458</v>
      </c>
      <c r="J274" s="6" t="s">
        <v>3424</v>
      </c>
      <c r="K274" s="6" t="s">
        <v>3390</v>
      </c>
      <c r="L274" s="6" t="s">
        <v>3356</v>
      </c>
      <c r="M274" s="6" t="s">
        <v>3962</v>
      </c>
      <c r="N274" s="6" t="s">
        <v>3927</v>
      </c>
    </row>
    <row r="275" spans="1:14" x14ac:dyDescent="0.2">
      <c r="A275" s="13" t="s">
        <v>2299</v>
      </c>
      <c r="B275" s="6" t="s">
        <v>2304</v>
      </c>
      <c r="C275" s="6" t="s">
        <v>2305</v>
      </c>
      <c r="D275" s="6" t="s">
        <v>2306</v>
      </c>
      <c r="E275" s="6" t="s">
        <v>2307</v>
      </c>
      <c r="F275" s="6" t="s">
        <v>2308</v>
      </c>
      <c r="G275" s="6" t="s">
        <v>2309</v>
      </c>
      <c r="H275" s="6" t="s">
        <v>2310</v>
      </c>
      <c r="I275" s="6" t="s">
        <v>3459</v>
      </c>
      <c r="J275" s="6" t="s">
        <v>3425</v>
      </c>
      <c r="K275" s="6" t="s">
        <v>3391</v>
      </c>
      <c r="L275" s="6" t="s">
        <v>3357</v>
      </c>
      <c r="M275" s="6" t="s">
        <v>3963</v>
      </c>
      <c r="N275" s="6" t="s">
        <v>3928</v>
      </c>
    </row>
    <row r="276" spans="1:14" x14ac:dyDescent="0.2">
      <c r="A276" s="13" t="s">
        <v>4003</v>
      </c>
      <c r="B276" s="6" t="s">
        <v>4004</v>
      </c>
      <c r="C276" s="6" t="s">
        <v>4007</v>
      </c>
      <c r="D276" s="6" t="s">
        <v>4010</v>
      </c>
      <c r="E276" s="6" t="s">
        <v>4013</v>
      </c>
      <c r="F276" s="6" t="s">
        <v>4016</v>
      </c>
      <c r="G276" s="6" t="s">
        <v>4020</v>
      </c>
      <c r="H276" s="6" t="s">
        <v>4023</v>
      </c>
      <c r="I276" s="6" t="s">
        <v>4026</v>
      </c>
      <c r="J276" s="6" t="s">
        <v>4029</v>
      </c>
      <c r="K276" s="6" t="s">
        <v>4032</v>
      </c>
      <c r="L276" s="6" t="s">
        <v>4035</v>
      </c>
      <c r="M276" s="6" t="s">
        <v>4038</v>
      </c>
      <c r="N276" s="6" t="s">
        <v>4041</v>
      </c>
    </row>
    <row r="277" spans="1:14" x14ac:dyDescent="0.2">
      <c r="A277" s="13" t="s">
        <v>3998</v>
      </c>
      <c r="B277" s="6" t="s">
        <v>4006</v>
      </c>
      <c r="C277" s="6" t="s">
        <v>4008</v>
      </c>
      <c r="D277" s="6" t="s">
        <v>4011</v>
      </c>
      <c r="E277" s="6" t="s">
        <v>4014</v>
      </c>
      <c r="F277" s="6" t="s">
        <v>4017</v>
      </c>
      <c r="G277" s="6" t="s">
        <v>4021</v>
      </c>
      <c r="H277" s="6" t="s">
        <v>4024</v>
      </c>
      <c r="I277" s="6" t="s">
        <v>4027</v>
      </c>
      <c r="J277" s="6" t="s">
        <v>4030</v>
      </c>
      <c r="K277" s="6" t="s">
        <v>4033</v>
      </c>
      <c r="L277" s="6" t="s">
        <v>4036</v>
      </c>
      <c r="M277" s="6" t="s">
        <v>4039</v>
      </c>
      <c r="N277" s="6" t="s">
        <v>4042</v>
      </c>
    </row>
    <row r="278" spans="1:14" x14ac:dyDescent="0.2">
      <c r="A278" s="13" t="s">
        <v>3999</v>
      </c>
      <c r="B278" s="6" t="s">
        <v>4005</v>
      </c>
      <c r="C278" s="6" t="s">
        <v>4009</v>
      </c>
      <c r="D278" s="6" t="s">
        <v>4012</v>
      </c>
      <c r="E278" s="6" t="s">
        <v>4015</v>
      </c>
      <c r="F278" s="6" t="s">
        <v>4018</v>
      </c>
      <c r="G278" s="6" t="s">
        <v>4022</v>
      </c>
      <c r="H278" s="6" t="s">
        <v>4025</v>
      </c>
      <c r="I278" s="6" t="s">
        <v>4028</v>
      </c>
      <c r="J278" s="6" t="s">
        <v>4031</v>
      </c>
      <c r="K278" s="6" t="s">
        <v>4034</v>
      </c>
      <c r="L278" s="6" t="s">
        <v>4037</v>
      </c>
      <c r="M278" s="6" t="s">
        <v>4040</v>
      </c>
      <c r="N278" s="6" t="s">
        <v>4043</v>
      </c>
    </row>
    <row r="279" spans="1:14" x14ac:dyDescent="0.2">
      <c r="A279" s="13" t="s">
        <v>4044</v>
      </c>
      <c r="B279" s="17" t="s">
        <v>4056</v>
      </c>
      <c r="C279" s="17" t="s">
        <v>4055</v>
      </c>
      <c r="D279" s="17" t="s">
        <v>4054</v>
      </c>
      <c r="E279" s="17" t="s">
        <v>4053</v>
      </c>
      <c r="F279" s="17" t="s">
        <v>4052</v>
      </c>
      <c r="G279" s="17" t="s">
        <v>4051</v>
      </c>
      <c r="H279" s="17" t="s">
        <v>4050</v>
      </c>
      <c r="I279" s="17" t="s">
        <v>4045</v>
      </c>
      <c r="J279" s="17" t="s">
        <v>4049</v>
      </c>
      <c r="K279" s="17" t="s">
        <v>4048</v>
      </c>
      <c r="L279" s="17" t="s">
        <v>4047</v>
      </c>
      <c r="M279" s="17" t="s">
        <v>4046</v>
      </c>
      <c r="N279" s="17" t="s">
        <v>4045</v>
      </c>
    </row>
    <row r="280" spans="1:14" x14ac:dyDescent="0.2">
      <c r="A280" s="13" t="s">
        <v>4073</v>
      </c>
      <c r="B280" s="17" t="s">
        <v>4075</v>
      </c>
      <c r="C280" s="17" t="s">
        <v>4074</v>
      </c>
      <c r="D280" s="17" t="s">
        <v>4076</v>
      </c>
      <c r="E280" s="17" t="s">
        <v>4077</v>
      </c>
      <c r="F280" s="17" t="s">
        <v>4078</v>
      </c>
      <c r="G280" s="17" t="s">
        <v>4079</v>
      </c>
      <c r="H280" s="17" t="s">
        <v>4080</v>
      </c>
      <c r="I280" s="17" t="s">
        <v>4081</v>
      </c>
      <c r="J280" s="17" t="s">
        <v>4082</v>
      </c>
      <c r="K280" s="17" t="s">
        <v>4083</v>
      </c>
      <c r="L280" s="17" t="s">
        <v>4084</v>
      </c>
      <c r="M280" s="17" t="s">
        <v>4085</v>
      </c>
      <c r="N280" s="17" t="s">
        <v>4086</v>
      </c>
    </row>
    <row r="281" spans="1:14" x14ac:dyDescent="0.2">
      <c r="A281" s="13" t="s">
        <v>4102</v>
      </c>
      <c r="B281" s="17" t="s">
        <v>4205</v>
      </c>
      <c r="C281" s="17" t="s">
        <v>4197</v>
      </c>
      <c r="D281" s="17" t="s">
        <v>4189</v>
      </c>
      <c r="E281" s="17" t="s">
        <v>4181</v>
      </c>
      <c r="F281" s="17" t="s">
        <v>4173</v>
      </c>
      <c r="G281" s="17" t="s">
        <v>4165</v>
      </c>
      <c r="H281" s="17" t="s">
        <v>4157</v>
      </c>
      <c r="I281" s="17" t="s">
        <v>4150</v>
      </c>
      <c r="J281" s="17" t="s">
        <v>4142</v>
      </c>
      <c r="K281" s="17" t="s">
        <v>4134</v>
      </c>
      <c r="L281" s="17" t="s">
        <v>4126</v>
      </c>
      <c r="M281" s="17" t="s">
        <v>4118</v>
      </c>
      <c r="N281" s="17" t="s">
        <v>4110</v>
      </c>
    </row>
    <row r="282" spans="1:14" x14ac:dyDescent="0.2">
      <c r="A282" s="13" t="s">
        <v>4103</v>
      </c>
      <c r="B282" s="17" t="s">
        <v>4206</v>
      </c>
      <c r="C282" s="17" t="s">
        <v>4198</v>
      </c>
      <c r="D282" s="17" t="s">
        <v>4190</v>
      </c>
      <c r="E282" s="17" t="s">
        <v>4182</v>
      </c>
      <c r="F282" s="17" t="s">
        <v>4174</v>
      </c>
      <c r="G282" s="17" t="s">
        <v>4166</v>
      </c>
      <c r="H282" s="17" t="s">
        <v>4158</v>
      </c>
      <c r="I282" s="17" t="s">
        <v>4111</v>
      </c>
      <c r="J282" s="17" t="s">
        <v>4143</v>
      </c>
      <c r="K282" s="17" t="s">
        <v>4135</v>
      </c>
      <c r="L282" s="17" t="s">
        <v>4127</v>
      </c>
      <c r="M282" s="17" t="s">
        <v>4119</v>
      </c>
      <c r="N282" s="17" t="s">
        <v>4111</v>
      </c>
    </row>
    <row r="283" spans="1:14" x14ac:dyDescent="0.2">
      <c r="A283" s="13" t="s">
        <v>4104</v>
      </c>
      <c r="B283" s="17" t="s">
        <v>4207</v>
      </c>
      <c r="C283" s="17" t="s">
        <v>4199</v>
      </c>
      <c r="D283" s="17" t="s">
        <v>4191</v>
      </c>
      <c r="E283" s="17" t="s">
        <v>4183</v>
      </c>
      <c r="F283" s="17" t="s">
        <v>4175</v>
      </c>
      <c r="G283" s="17" t="s">
        <v>4167</v>
      </c>
      <c r="H283" s="17" t="s">
        <v>4159</v>
      </c>
      <c r="I283" s="17" t="s">
        <v>4151</v>
      </c>
      <c r="J283" s="17" t="s">
        <v>4144</v>
      </c>
      <c r="K283" s="17" t="s">
        <v>4136</v>
      </c>
      <c r="L283" s="17" t="s">
        <v>4128</v>
      </c>
      <c r="M283" s="17" t="s">
        <v>4120</v>
      </c>
      <c r="N283" s="17" t="s">
        <v>4112</v>
      </c>
    </row>
    <row r="284" spans="1:14" x14ac:dyDescent="0.2">
      <c r="A284" s="13" t="s">
        <v>4105</v>
      </c>
      <c r="B284" s="17" t="s">
        <v>4208</v>
      </c>
      <c r="C284" s="17" t="s">
        <v>4200</v>
      </c>
      <c r="D284" s="17" t="s">
        <v>4192</v>
      </c>
      <c r="E284" s="17" t="s">
        <v>4184</v>
      </c>
      <c r="F284" s="17" t="s">
        <v>4176</v>
      </c>
      <c r="G284" s="17" t="s">
        <v>4168</v>
      </c>
      <c r="H284" s="17" t="s">
        <v>4160</v>
      </c>
      <c r="I284" s="17" t="s">
        <v>4152</v>
      </c>
      <c r="J284" s="17" t="s">
        <v>4145</v>
      </c>
      <c r="K284" s="17" t="s">
        <v>4137</v>
      </c>
      <c r="L284" s="17" t="s">
        <v>4129</v>
      </c>
      <c r="M284" s="17" t="s">
        <v>4121</v>
      </c>
      <c r="N284" s="17" t="s">
        <v>4113</v>
      </c>
    </row>
    <row r="285" spans="1:14" x14ac:dyDescent="0.2">
      <c r="A285" s="13" t="s">
        <v>4106</v>
      </c>
      <c r="B285" s="17" t="s">
        <v>4209</v>
      </c>
      <c r="C285" s="17" t="s">
        <v>4201</v>
      </c>
      <c r="D285" s="17" t="s">
        <v>4193</v>
      </c>
      <c r="E285" s="17" t="s">
        <v>4185</v>
      </c>
      <c r="F285" s="17" t="s">
        <v>4177</v>
      </c>
      <c r="G285" s="17" t="s">
        <v>4169</v>
      </c>
      <c r="H285" s="17" t="s">
        <v>4161</v>
      </c>
      <c r="I285" s="17" t="s">
        <v>4153</v>
      </c>
      <c r="J285" s="17" t="s">
        <v>4146</v>
      </c>
      <c r="K285" s="17" t="s">
        <v>4138</v>
      </c>
      <c r="L285" s="17" t="s">
        <v>4130</v>
      </c>
      <c r="M285" s="17" t="s">
        <v>4122</v>
      </c>
      <c r="N285" s="17" t="s">
        <v>4114</v>
      </c>
    </row>
    <row r="286" spans="1:14" x14ac:dyDescent="0.2">
      <c r="A286" s="13" t="s">
        <v>4107</v>
      </c>
      <c r="B286" s="17" t="s">
        <v>4210</v>
      </c>
      <c r="C286" s="17" t="s">
        <v>4202</v>
      </c>
      <c r="D286" s="17" t="s">
        <v>4194</v>
      </c>
      <c r="E286" s="17" t="s">
        <v>4186</v>
      </c>
      <c r="F286" s="17" t="s">
        <v>4178</v>
      </c>
      <c r="G286" s="17" t="s">
        <v>4170</v>
      </c>
      <c r="H286" s="17" t="s">
        <v>4162</v>
      </c>
      <c r="I286" s="17" t="s">
        <v>4154</v>
      </c>
      <c r="J286" s="17" t="s">
        <v>4147</v>
      </c>
      <c r="K286" s="17" t="s">
        <v>4139</v>
      </c>
      <c r="L286" s="17" t="s">
        <v>4131</v>
      </c>
      <c r="M286" s="17" t="s">
        <v>4123</v>
      </c>
      <c r="N286" s="17" t="s">
        <v>4115</v>
      </c>
    </row>
    <row r="287" spans="1:14" x14ac:dyDescent="0.2">
      <c r="A287" s="13" t="s">
        <v>4108</v>
      </c>
      <c r="B287" s="17" t="s">
        <v>4211</v>
      </c>
      <c r="C287" s="17" t="s">
        <v>4203</v>
      </c>
      <c r="D287" s="17" t="s">
        <v>4195</v>
      </c>
      <c r="E287" s="17" t="s">
        <v>4187</v>
      </c>
      <c r="F287" s="17" t="s">
        <v>4179</v>
      </c>
      <c r="G287" s="17" t="s">
        <v>4171</v>
      </c>
      <c r="H287" s="17" t="s">
        <v>4163</v>
      </c>
      <c r="I287" s="17" t="s">
        <v>4155</v>
      </c>
      <c r="J287" s="17" t="s">
        <v>4148</v>
      </c>
      <c r="K287" s="17" t="s">
        <v>4140</v>
      </c>
      <c r="L287" s="17" t="s">
        <v>4132</v>
      </c>
      <c r="M287" s="17" t="s">
        <v>4124</v>
      </c>
      <c r="N287" s="17" t="s">
        <v>4116</v>
      </c>
    </row>
    <row r="288" spans="1:14" x14ac:dyDescent="0.2">
      <c r="A288" s="13" t="s">
        <v>4109</v>
      </c>
      <c r="B288" s="17" t="s">
        <v>4212</v>
      </c>
      <c r="C288" s="17" t="s">
        <v>4204</v>
      </c>
      <c r="D288" s="17" t="s">
        <v>4196</v>
      </c>
      <c r="E288" s="17" t="s">
        <v>4188</v>
      </c>
      <c r="F288" s="17" t="s">
        <v>4180</v>
      </c>
      <c r="G288" s="17" t="s">
        <v>4172</v>
      </c>
      <c r="H288" s="17" t="s">
        <v>4164</v>
      </c>
      <c r="I288" s="17" t="s">
        <v>4156</v>
      </c>
      <c r="J288" s="17" t="s">
        <v>4149</v>
      </c>
      <c r="K288" s="17" t="s">
        <v>4141</v>
      </c>
      <c r="L288" s="17" t="s">
        <v>4133</v>
      </c>
      <c r="M288" s="17" t="s">
        <v>4125</v>
      </c>
      <c r="N288" s="17" t="s">
        <v>4117</v>
      </c>
    </row>
    <row r="289" spans="1:14" x14ac:dyDescent="0.2">
      <c r="A289" s="13" t="s">
        <v>4213</v>
      </c>
      <c r="B289" s="17" t="s">
        <v>4219</v>
      </c>
      <c r="C289" s="17" t="s">
        <v>4221</v>
      </c>
      <c r="D289" s="17" t="s">
        <v>4225</v>
      </c>
      <c r="E289" s="17" t="s">
        <v>4229</v>
      </c>
      <c r="F289" s="17" t="s">
        <v>4233</v>
      </c>
      <c r="G289" s="17" t="s">
        <v>4236</v>
      </c>
      <c r="H289" s="17" t="s">
        <v>4240</v>
      </c>
      <c r="I289" s="17" t="s">
        <v>4244</v>
      </c>
      <c r="J289" s="17" t="s">
        <v>4248</v>
      </c>
      <c r="K289" s="17" t="s">
        <v>4252</v>
      </c>
      <c r="L289" s="17" t="s">
        <v>4256</v>
      </c>
      <c r="M289" s="17" t="s">
        <v>4260</v>
      </c>
      <c r="N289" s="17" t="s">
        <v>4264</v>
      </c>
    </row>
    <row r="290" spans="1:14" x14ac:dyDescent="0.2">
      <c r="A290" s="13" t="s">
        <v>4214</v>
      </c>
      <c r="B290" s="17" t="s">
        <v>4220</v>
      </c>
      <c r="C290" s="17" t="s">
        <v>4222</v>
      </c>
      <c r="D290" s="17" t="s">
        <v>4226</v>
      </c>
      <c r="E290" s="17" t="s">
        <v>4230</v>
      </c>
      <c r="F290" s="17" t="s">
        <v>4230</v>
      </c>
      <c r="G290" s="17" t="s">
        <v>4237</v>
      </c>
      <c r="H290" s="17" t="s">
        <v>4241</v>
      </c>
      <c r="I290" s="17" t="s">
        <v>4245</v>
      </c>
      <c r="J290" s="17" t="s">
        <v>4249</v>
      </c>
      <c r="K290" s="17" t="s">
        <v>4253</v>
      </c>
      <c r="L290" s="17" t="s">
        <v>4257</v>
      </c>
      <c r="M290" s="17" t="s">
        <v>4261</v>
      </c>
      <c r="N290" s="17" t="s">
        <v>4257</v>
      </c>
    </row>
    <row r="291" spans="1:14" x14ac:dyDescent="0.2">
      <c r="A291" s="13" t="s">
        <v>4215</v>
      </c>
      <c r="B291" s="17" t="s">
        <v>4217</v>
      </c>
      <c r="C291" s="17" t="s">
        <v>4223</v>
      </c>
      <c r="D291" s="17" t="s">
        <v>4227</v>
      </c>
      <c r="E291" s="17" t="s">
        <v>4231</v>
      </c>
      <c r="F291" s="17" t="s">
        <v>4234</v>
      </c>
      <c r="G291" s="17" t="s">
        <v>4238</v>
      </c>
      <c r="H291" s="17" t="s">
        <v>4242</v>
      </c>
      <c r="I291" s="17" t="s">
        <v>4246</v>
      </c>
      <c r="J291" s="17" t="s">
        <v>4250</v>
      </c>
      <c r="K291" s="17" t="s">
        <v>4254</v>
      </c>
      <c r="L291" s="17" t="s">
        <v>4258</v>
      </c>
      <c r="M291" s="17" t="s">
        <v>4262</v>
      </c>
      <c r="N291" s="17" t="s">
        <v>4265</v>
      </c>
    </row>
    <row r="292" spans="1:14" x14ac:dyDescent="0.2">
      <c r="A292" s="13" t="s">
        <v>4216</v>
      </c>
      <c r="B292" s="17" t="s">
        <v>4218</v>
      </c>
      <c r="C292" s="17" t="s">
        <v>4224</v>
      </c>
      <c r="D292" s="17" t="s">
        <v>4228</v>
      </c>
      <c r="E292" s="17" t="s">
        <v>4232</v>
      </c>
      <c r="F292" s="17" t="s">
        <v>4235</v>
      </c>
      <c r="G292" s="17" t="s">
        <v>4239</v>
      </c>
      <c r="H292" s="17" t="s">
        <v>4243</v>
      </c>
      <c r="I292" s="17" t="s">
        <v>4247</v>
      </c>
      <c r="J292" s="17" t="s">
        <v>4251</v>
      </c>
      <c r="K292" s="17" t="s">
        <v>4255</v>
      </c>
      <c r="L292" s="17" t="s">
        <v>4259</v>
      </c>
      <c r="M292" s="17" t="s">
        <v>4263</v>
      </c>
      <c r="N292" s="17" t="s">
        <v>4266</v>
      </c>
    </row>
  </sheetData>
  <sortState xmlns:xlrd2="http://schemas.microsoft.com/office/spreadsheetml/2017/richdata2" ref="A2:H274">
    <sortCondition ref="A2:A274"/>
  </sortState>
  <hyperlinks>
    <hyperlink ref="B272" r:id="rId1" xr:uid="{00000000-0004-0000-0300-000000000000}"/>
  </hyperlinks>
  <pageMargins left="0.7" right="0.7" top="0.75" bottom="0.75" header="0.3" footer="0.3"/>
  <pageSetup paperSize="9" orientation="portrait" verticalDpi="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44F47-CB65-5440-A30A-25CC474D09C4}">
  <dimension ref="A1:L16"/>
  <sheetViews>
    <sheetView workbookViewId="0">
      <selection activeCell="F13" sqref="F13"/>
    </sheetView>
  </sheetViews>
  <sheetFormatPr baseColWidth="10" defaultRowHeight="15" x14ac:dyDescent="0.2"/>
  <cols>
    <col min="1" max="1" width="9.83203125" bestFit="1" customWidth="1"/>
    <col min="2" max="3" width="31.1640625" customWidth="1"/>
    <col min="4" max="4" width="9.83203125" bestFit="1" customWidth="1"/>
    <col min="5" max="5" width="11.1640625" bestFit="1" customWidth="1"/>
    <col min="6" max="6" width="15.33203125" bestFit="1" customWidth="1"/>
    <col min="7" max="7" width="14.83203125" bestFit="1" customWidth="1"/>
    <col min="8" max="8" width="13.83203125" bestFit="1" customWidth="1"/>
    <col min="10" max="10" width="12.6640625" bestFit="1" customWidth="1"/>
    <col min="11" max="11" width="14" bestFit="1" customWidth="1"/>
    <col min="12" max="12" width="5.5" bestFit="1" customWidth="1"/>
  </cols>
  <sheetData>
    <row r="1" spans="1:12" x14ac:dyDescent="0.2">
      <c r="A1" s="21" t="s">
        <v>551</v>
      </c>
      <c r="B1" s="30" t="s">
        <v>191</v>
      </c>
      <c r="C1" s="30" t="s">
        <v>510</v>
      </c>
      <c r="D1" s="30" t="s">
        <v>549</v>
      </c>
      <c r="E1" s="30" t="s">
        <v>556</v>
      </c>
      <c r="F1" s="30" t="s">
        <v>599</v>
      </c>
      <c r="G1" s="30" t="s">
        <v>598</v>
      </c>
      <c r="H1" s="30" t="s">
        <v>561</v>
      </c>
      <c r="I1" s="30" t="s">
        <v>580</v>
      </c>
      <c r="J1" s="30" t="s">
        <v>567</v>
      </c>
      <c r="K1" s="30" t="s">
        <v>525</v>
      </c>
      <c r="L1" s="30" t="s">
        <v>197</v>
      </c>
    </row>
    <row r="2" spans="1:12" ht="22" thickBot="1" x14ac:dyDescent="0.3">
      <c r="A2" s="22">
        <v>0</v>
      </c>
      <c r="B2" s="31" t="s">
        <v>527</v>
      </c>
      <c r="C2" s="47" t="s">
        <v>4302</v>
      </c>
      <c r="D2" s="52">
        <v>37.764751264890002</v>
      </c>
      <c r="E2" s="52">
        <v>128.901215118675</v>
      </c>
      <c r="F2" s="36">
        <v>0</v>
      </c>
      <c r="G2" s="36">
        <v>0.99930555555555556</v>
      </c>
      <c r="H2" s="45" t="s">
        <v>585</v>
      </c>
      <c r="I2" s="46">
        <v>0</v>
      </c>
      <c r="J2" s="45">
        <v>0</v>
      </c>
      <c r="K2" s="45">
        <v>0</v>
      </c>
      <c r="L2" s="45">
        <v>0</v>
      </c>
    </row>
    <row r="3" spans="1:12" ht="22" thickTop="1" x14ac:dyDescent="0.25">
      <c r="A3" s="24">
        <v>1</v>
      </c>
      <c r="B3" s="48" t="s">
        <v>4267</v>
      </c>
      <c r="C3" s="51" t="s">
        <v>4281</v>
      </c>
      <c r="D3" s="52">
        <v>37.795178163769201</v>
      </c>
      <c r="E3" s="52">
        <v>128.916161884438</v>
      </c>
      <c r="F3" s="37">
        <v>0</v>
      </c>
      <c r="G3" s="37">
        <v>0.99930555555555556</v>
      </c>
      <c r="H3" s="32" t="s">
        <v>560</v>
      </c>
      <c r="I3" s="41">
        <v>0</v>
      </c>
      <c r="J3" s="32">
        <v>0</v>
      </c>
      <c r="K3" s="32">
        <v>0</v>
      </c>
      <c r="L3" s="32">
        <v>0</v>
      </c>
    </row>
    <row r="4" spans="1:12" ht="21" x14ac:dyDescent="0.25">
      <c r="A4" s="27">
        <v>2</v>
      </c>
      <c r="B4" s="49" t="s">
        <v>4268</v>
      </c>
      <c r="C4" s="51" t="s">
        <v>4282</v>
      </c>
      <c r="D4" s="52">
        <v>37.789729888456399</v>
      </c>
      <c r="E4" s="52">
        <v>128.90960192524901</v>
      </c>
      <c r="F4" s="38">
        <v>0</v>
      </c>
      <c r="G4" s="38">
        <v>0.99930555555555556</v>
      </c>
      <c r="H4" s="33" t="s">
        <v>560</v>
      </c>
      <c r="I4" s="42">
        <v>0</v>
      </c>
      <c r="J4" s="33">
        <v>0</v>
      </c>
      <c r="K4" s="33">
        <v>0</v>
      </c>
      <c r="L4" s="33">
        <v>0</v>
      </c>
    </row>
    <row r="5" spans="1:12" ht="21" x14ac:dyDescent="0.25">
      <c r="A5" s="27">
        <v>3</v>
      </c>
      <c r="B5" s="50" t="s">
        <v>4269</v>
      </c>
      <c r="C5" s="51" t="s">
        <v>4283</v>
      </c>
      <c r="D5" s="52">
        <v>37.777638889147802</v>
      </c>
      <c r="E5" s="52">
        <v>128.89830858447601</v>
      </c>
      <c r="F5" s="39">
        <v>0</v>
      </c>
      <c r="G5" s="39">
        <v>0.99930555555555556</v>
      </c>
      <c r="H5" s="34" t="s">
        <v>560</v>
      </c>
      <c r="I5" s="43">
        <v>0</v>
      </c>
      <c r="J5" s="34">
        <v>0</v>
      </c>
      <c r="K5" s="34">
        <v>0</v>
      </c>
      <c r="L5" s="34">
        <v>0</v>
      </c>
    </row>
    <row r="6" spans="1:12" ht="21" x14ac:dyDescent="0.25">
      <c r="A6" s="27">
        <v>4</v>
      </c>
      <c r="B6" s="49" t="s">
        <v>4270</v>
      </c>
      <c r="C6" s="51" t="s">
        <v>4284</v>
      </c>
      <c r="D6" s="52">
        <v>37.800448038716702</v>
      </c>
      <c r="E6" s="52">
        <v>128.91126708569601</v>
      </c>
      <c r="F6" s="38">
        <v>0</v>
      </c>
      <c r="G6" s="38">
        <v>0.99930555555555556</v>
      </c>
      <c r="H6" s="33" t="s">
        <v>560</v>
      </c>
      <c r="I6" s="42">
        <v>0</v>
      </c>
      <c r="J6" s="33">
        <v>0</v>
      </c>
      <c r="K6" s="33">
        <v>0</v>
      </c>
      <c r="L6" s="33">
        <v>0</v>
      </c>
    </row>
    <row r="7" spans="1:12" ht="21" x14ac:dyDescent="0.25">
      <c r="A7" s="27">
        <v>5</v>
      </c>
      <c r="B7" s="50" t="s">
        <v>4271</v>
      </c>
      <c r="C7" s="51" t="s">
        <v>4285</v>
      </c>
      <c r="D7" s="52">
        <v>37.801236165643203</v>
      </c>
      <c r="E7" s="52">
        <v>128.903057385952</v>
      </c>
      <c r="F7" s="39">
        <v>0</v>
      </c>
      <c r="G7" s="39">
        <v>0.99930555555555556</v>
      </c>
      <c r="H7" s="34" t="s">
        <v>560</v>
      </c>
      <c r="I7" s="43">
        <v>0</v>
      </c>
      <c r="J7" s="34">
        <v>0</v>
      </c>
      <c r="K7" s="34">
        <v>0</v>
      </c>
      <c r="L7" s="34">
        <v>0</v>
      </c>
    </row>
    <row r="8" spans="1:12" ht="21" x14ac:dyDescent="0.25">
      <c r="A8" s="27">
        <v>6</v>
      </c>
      <c r="B8" s="50" t="s">
        <v>4272</v>
      </c>
      <c r="C8" s="51" t="s">
        <v>4286</v>
      </c>
      <c r="D8" s="52">
        <v>37.795191717606301</v>
      </c>
      <c r="E8" s="52">
        <v>128.89692747110601</v>
      </c>
      <c r="F8" s="38">
        <v>0</v>
      </c>
      <c r="G8" s="38">
        <v>0.99930555555555556</v>
      </c>
      <c r="H8" s="33" t="s">
        <v>560</v>
      </c>
      <c r="I8" s="42">
        <v>0</v>
      </c>
      <c r="J8" s="33">
        <v>0</v>
      </c>
      <c r="K8" s="33">
        <v>0</v>
      </c>
      <c r="L8" s="33">
        <v>0</v>
      </c>
    </row>
    <row r="9" spans="1:12" ht="21" x14ac:dyDescent="0.25">
      <c r="A9" s="27">
        <v>7</v>
      </c>
      <c r="B9" s="49" t="s">
        <v>4273</v>
      </c>
      <c r="C9" s="51" t="s">
        <v>4287</v>
      </c>
      <c r="D9" s="52">
        <v>37.797273475760399</v>
      </c>
      <c r="E9" s="52">
        <v>128.90017885179</v>
      </c>
      <c r="F9" s="39">
        <v>0</v>
      </c>
      <c r="G9" s="39">
        <v>0.99930555555555556</v>
      </c>
      <c r="H9" s="34" t="s">
        <v>560</v>
      </c>
      <c r="I9" s="43">
        <v>0</v>
      </c>
      <c r="J9" s="34">
        <v>0</v>
      </c>
      <c r="K9" s="34">
        <v>0</v>
      </c>
      <c r="L9" s="34">
        <v>0</v>
      </c>
    </row>
    <row r="10" spans="1:12" ht="21" x14ac:dyDescent="0.25">
      <c r="A10" s="27">
        <v>8</v>
      </c>
      <c r="B10" s="50" t="s">
        <v>4274</v>
      </c>
      <c r="C10" s="51" t="s">
        <v>4288</v>
      </c>
      <c r="D10" s="52">
        <v>37.784900898309097</v>
      </c>
      <c r="E10" s="52">
        <v>128.88414860348999</v>
      </c>
      <c r="F10" s="38">
        <v>0</v>
      </c>
      <c r="G10" s="38">
        <v>0.99930555555555556</v>
      </c>
      <c r="H10" s="33" t="s">
        <v>560</v>
      </c>
      <c r="I10" s="42">
        <v>0</v>
      </c>
      <c r="J10" s="33">
        <v>0</v>
      </c>
      <c r="K10" s="33">
        <v>0</v>
      </c>
      <c r="L10" s="33">
        <v>0</v>
      </c>
    </row>
    <row r="11" spans="1:12" ht="21" x14ac:dyDescent="0.25">
      <c r="A11" s="27">
        <v>9</v>
      </c>
      <c r="B11" s="50" t="s">
        <v>4275</v>
      </c>
      <c r="C11" s="51" t="s">
        <v>4289</v>
      </c>
      <c r="D11" s="52">
        <v>37.779550453964099</v>
      </c>
      <c r="E11" s="52">
        <v>128.880935334897</v>
      </c>
      <c r="F11" s="39">
        <v>0</v>
      </c>
      <c r="G11" s="39">
        <v>0.99930555555555556</v>
      </c>
      <c r="H11" s="34" t="s">
        <v>560</v>
      </c>
      <c r="I11" s="43">
        <v>0</v>
      </c>
      <c r="J11" s="34">
        <v>0</v>
      </c>
      <c r="K11" s="34">
        <v>0</v>
      </c>
      <c r="L11" s="34">
        <v>0</v>
      </c>
    </row>
    <row r="12" spans="1:12" ht="21" x14ac:dyDescent="0.25">
      <c r="A12" s="27">
        <v>10</v>
      </c>
      <c r="B12" s="49" t="s">
        <v>4276</v>
      </c>
      <c r="C12" s="51" t="s">
        <v>4290</v>
      </c>
      <c r="D12" s="52">
        <v>37.774542716914397</v>
      </c>
      <c r="E12" s="52">
        <v>128.94464175024299</v>
      </c>
      <c r="F12" s="38">
        <v>0</v>
      </c>
      <c r="G12" s="38">
        <v>0.99930555555555556</v>
      </c>
      <c r="H12" s="33" t="s">
        <v>560</v>
      </c>
      <c r="I12" s="42">
        <v>0</v>
      </c>
      <c r="J12" s="33">
        <v>0</v>
      </c>
      <c r="K12" s="33">
        <v>0</v>
      </c>
      <c r="L12" s="33">
        <v>0</v>
      </c>
    </row>
    <row r="13" spans="1:12" ht="21" x14ac:dyDescent="0.25">
      <c r="A13" s="27">
        <v>11</v>
      </c>
      <c r="B13" s="50" t="s">
        <v>4277</v>
      </c>
      <c r="C13" s="51" t="s">
        <v>4291</v>
      </c>
      <c r="D13" s="52">
        <v>37.778814783004002</v>
      </c>
      <c r="E13" s="52">
        <v>128.938654960294</v>
      </c>
      <c r="F13" s="39">
        <v>0</v>
      </c>
      <c r="G13" s="39">
        <v>0.99930555555555556</v>
      </c>
      <c r="H13" s="34" t="s">
        <v>560</v>
      </c>
      <c r="I13" s="43">
        <v>0</v>
      </c>
      <c r="J13" s="34">
        <v>0</v>
      </c>
      <c r="K13" s="34">
        <v>0</v>
      </c>
      <c r="L13" s="34">
        <v>0</v>
      </c>
    </row>
    <row r="14" spans="1:12" ht="21" x14ac:dyDescent="0.25">
      <c r="A14" s="27">
        <v>12</v>
      </c>
      <c r="B14" s="49" t="s">
        <v>4278</v>
      </c>
      <c r="C14" s="51" t="s">
        <v>4292</v>
      </c>
      <c r="D14" s="52">
        <v>37.790937549453801</v>
      </c>
      <c r="E14" s="52">
        <v>128.92172560899601</v>
      </c>
      <c r="F14" s="38">
        <v>0</v>
      </c>
      <c r="G14" s="38">
        <v>0.99930555555555556</v>
      </c>
      <c r="H14" s="33" t="s">
        <v>560</v>
      </c>
      <c r="I14" s="42">
        <v>0</v>
      </c>
      <c r="J14" s="33">
        <v>0</v>
      </c>
      <c r="K14" s="33">
        <v>0</v>
      </c>
      <c r="L14" s="33">
        <v>0</v>
      </c>
    </row>
    <row r="15" spans="1:12" ht="21" x14ac:dyDescent="0.25">
      <c r="A15" s="27">
        <v>13</v>
      </c>
      <c r="B15" s="50" t="s">
        <v>4279</v>
      </c>
      <c r="C15" s="51" t="s">
        <v>4293</v>
      </c>
      <c r="D15" s="52">
        <v>37.7905870979681</v>
      </c>
      <c r="E15" s="52">
        <v>128.90749104317999</v>
      </c>
      <c r="F15" s="39">
        <v>0</v>
      </c>
      <c r="G15" s="39">
        <v>0.99930555555555556</v>
      </c>
      <c r="H15" s="34" t="s">
        <v>560</v>
      </c>
      <c r="I15" s="43">
        <v>0</v>
      </c>
      <c r="J15" s="34">
        <v>0</v>
      </c>
      <c r="K15" s="34">
        <v>0</v>
      </c>
      <c r="L15" s="34">
        <v>0</v>
      </c>
    </row>
    <row r="16" spans="1:12" ht="21" x14ac:dyDescent="0.25">
      <c r="A16" s="25">
        <v>14</v>
      </c>
      <c r="B16" s="49" t="s">
        <v>4280</v>
      </c>
      <c r="C16" s="51" t="s">
        <v>4294</v>
      </c>
      <c r="D16" s="52">
        <v>37.801506297194202</v>
      </c>
      <c r="E16" s="52">
        <v>128.90875908361301</v>
      </c>
      <c r="F16" s="40">
        <v>0</v>
      </c>
      <c r="G16" s="40">
        <v>0.99930555555555556</v>
      </c>
      <c r="H16" s="35" t="s">
        <v>560</v>
      </c>
      <c r="I16" s="44">
        <v>0</v>
      </c>
      <c r="J16" s="35">
        <v>0</v>
      </c>
      <c r="K16" s="35">
        <v>0</v>
      </c>
      <c r="L16" s="35">
        <v>0</v>
      </c>
    </row>
  </sheetData>
  <conditionalFormatting sqref="A2">
    <cfRule type="expression" dxfId="271" priority="18" stopIfTrue="1">
      <formula>ISBLANK(A2)</formula>
    </cfRule>
  </conditionalFormatting>
  <conditionalFormatting sqref="F2">
    <cfRule type="cellIs" dxfId="270" priority="20" stopIfTrue="1" operator="greaterThan">
      <formula>G2-$I$2</formula>
    </cfRule>
  </conditionalFormatting>
  <conditionalFormatting sqref="G2">
    <cfRule type="cellIs" dxfId="269" priority="21" stopIfTrue="1" operator="lessThan">
      <formula>F2+$I$2</formula>
    </cfRule>
  </conditionalFormatting>
  <conditionalFormatting sqref="I2">
    <cfRule type="cellIs" dxfId="268" priority="22" stopIfTrue="1" operator="greaterThan">
      <formula>G2-F2 + 0.0001</formula>
    </cfRule>
  </conditionalFormatting>
  <conditionalFormatting sqref="A3">
    <cfRule type="expression" dxfId="267" priority="23" stopIfTrue="1">
      <formula>ISBLANK(A3)</formula>
    </cfRule>
  </conditionalFormatting>
  <conditionalFormatting sqref="F3">
    <cfRule type="cellIs" dxfId="266" priority="25" stopIfTrue="1" operator="greaterThan">
      <formula>G3-$I$3</formula>
    </cfRule>
  </conditionalFormatting>
  <conditionalFormatting sqref="G3">
    <cfRule type="cellIs" dxfId="265" priority="26" stopIfTrue="1" operator="lessThan">
      <formula>F3+$I$3</formula>
    </cfRule>
  </conditionalFormatting>
  <conditionalFormatting sqref="H3">
    <cfRule type="cellIs" dxfId="264" priority="27" stopIfTrue="1" operator="equal">
      <formula>"May be visited"</formula>
    </cfRule>
    <cfRule type="cellIs" dxfId="263" priority="28" stopIfTrue="1" operator="equal">
      <formula>"Don't visit"</formula>
    </cfRule>
  </conditionalFormatting>
  <conditionalFormatting sqref="I3">
    <cfRule type="cellIs" dxfId="262" priority="29" stopIfTrue="1" operator="greaterThan">
      <formula>G3-F3 + 0.0001</formula>
    </cfRule>
  </conditionalFormatting>
  <conditionalFormatting sqref="A4">
    <cfRule type="expression" dxfId="261" priority="30" stopIfTrue="1">
      <formula>ISBLANK(A4)</formula>
    </cfRule>
  </conditionalFormatting>
  <conditionalFormatting sqref="F4">
    <cfRule type="cellIs" dxfId="260" priority="32" stopIfTrue="1" operator="greaterThan">
      <formula>G4-$I$4</formula>
    </cfRule>
  </conditionalFormatting>
  <conditionalFormatting sqref="G4">
    <cfRule type="cellIs" dxfId="259" priority="33" stopIfTrue="1" operator="lessThan">
      <formula>F4+$I$4</formula>
    </cfRule>
  </conditionalFormatting>
  <conditionalFormatting sqref="H4">
    <cfRule type="cellIs" dxfId="258" priority="34" stopIfTrue="1" operator="equal">
      <formula>"May be visited"</formula>
    </cfRule>
    <cfRule type="cellIs" dxfId="257" priority="35" stopIfTrue="1" operator="equal">
      <formula>"Don't visit"</formula>
    </cfRule>
  </conditionalFormatting>
  <conditionalFormatting sqref="I4">
    <cfRule type="cellIs" dxfId="256" priority="36" stopIfTrue="1" operator="greaterThan">
      <formula>G4-F4 + 0.0001</formula>
    </cfRule>
  </conditionalFormatting>
  <conditionalFormatting sqref="A5">
    <cfRule type="expression" dxfId="255" priority="37" stopIfTrue="1">
      <formula>ISBLANK(A5)</formula>
    </cfRule>
  </conditionalFormatting>
  <conditionalFormatting sqref="F5">
    <cfRule type="cellIs" dxfId="254" priority="39" stopIfTrue="1" operator="greaterThan">
      <formula>G5-$I$5</formula>
    </cfRule>
  </conditionalFormatting>
  <conditionalFormatting sqref="G5">
    <cfRule type="cellIs" dxfId="253" priority="40" stopIfTrue="1" operator="lessThan">
      <formula>F5+$I$5</formula>
    </cfRule>
  </conditionalFormatting>
  <conditionalFormatting sqref="H5">
    <cfRule type="cellIs" dxfId="252" priority="41" stopIfTrue="1" operator="equal">
      <formula>"May be visited"</formula>
    </cfRule>
  </conditionalFormatting>
  <conditionalFormatting sqref="H5">
    <cfRule type="cellIs" dxfId="251" priority="42" stopIfTrue="1" operator="equal">
      <formula>"Don't visit"</formula>
    </cfRule>
  </conditionalFormatting>
  <conditionalFormatting sqref="I5">
    <cfRule type="cellIs" dxfId="250" priority="43" stopIfTrue="1" operator="greaterThan">
      <formula>G5-F5 + 0.0001</formula>
    </cfRule>
  </conditionalFormatting>
  <conditionalFormatting sqref="A6">
    <cfRule type="expression" dxfId="249" priority="44" stopIfTrue="1">
      <formula>ISBLANK(A6)</formula>
    </cfRule>
  </conditionalFormatting>
  <conditionalFormatting sqref="F6">
    <cfRule type="cellIs" dxfId="248" priority="46" stopIfTrue="1" operator="greaterThan">
      <formula>G6-$I$6</formula>
    </cfRule>
  </conditionalFormatting>
  <conditionalFormatting sqref="G6">
    <cfRule type="cellIs" dxfId="247" priority="47" stopIfTrue="1" operator="lessThan">
      <formula>F6+$I$6</formula>
    </cfRule>
  </conditionalFormatting>
  <conditionalFormatting sqref="H6">
    <cfRule type="cellIs" dxfId="246" priority="48" stopIfTrue="1" operator="equal">
      <formula>"May be visited"</formula>
    </cfRule>
  </conditionalFormatting>
  <conditionalFormatting sqref="H6">
    <cfRule type="cellIs" dxfId="245" priority="49" stopIfTrue="1" operator="equal">
      <formula>"Don't visit"</formula>
    </cfRule>
  </conditionalFormatting>
  <conditionalFormatting sqref="I6">
    <cfRule type="cellIs" dxfId="244" priority="50" stopIfTrue="1" operator="greaterThan">
      <formula>G6-F6 + 0.0001</formula>
    </cfRule>
  </conditionalFormatting>
  <conditionalFormatting sqref="A7">
    <cfRule type="expression" dxfId="243" priority="51" stopIfTrue="1">
      <formula>ISBLANK(A7)</formula>
    </cfRule>
  </conditionalFormatting>
  <conditionalFormatting sqref="F7">
    <cfRule type="cellIs" dxfId="242" priority="53" stopIfTrue="1" operator="greaterThan">
      <formula>G7-$I$7</formula>
    </cfRule>
  </conditionalFormatting>
  <conditionalFormatting sqref="G7">
    <cfRule type="cellIs" dxfId="241" priority="54" stopIfTrue="1" operator="lessThan">
      <formula>F7+$I$7</formula>
    </cfRule>
  </conditionalFormatting>
  <conditionalFormatting sqref="H7">
    <cfRule type="cellIs" dxfId="240" priority="55" stopIfTrue="1" operator="equal">
      <formula>"May be visited"</formula>
    </cfRule>
  </conditionalFormatting>
  <conditionalFormatting sqref="H7">
    <cfRule type="cellIs" dxfId="239" priority="56" stopIfTrue="1" operator="equal">
      <formula>"Don't visit"</formula>
    </cfRule>
  </conditionalFormatting>
  <conditionalFormatting sqref="I7">
    <cfRule type="cellIs" dxfId="238" priority="57" stopIfTrue="1" operator="greaterThan">
      <formula>G7-F7 + 0.0001</formula>
    </cfRule>
  </conditionalFormatting>
  <conditionalFormatting sqref="A8">
    <cfRule type="expression" dxfId="237" priority="58" stopIfTrue="1">
      <formula>ISBLANK(A8)</formula>
    </cfRule>
  </conditionalFormatting>
  <conditionalFormatting sqref="F8">
    <cfRule type="cellIs" dxfId="236" priority="60" stopIfTrue="1" operator="greaterThan">
      <formula>G8-$I$8</formula>
    </cfRule>
  </conditionalFormatting>
  <conditionalFormatting sqref="G8">
    <cfRule type="cellIs" dxfId="235" priority="61" stopIfTrue="1" operator="lessThan">
      <formula>F8+$I$8</formula>
    </cfRule>
  </conditionalFormatting>
  <conditionalFormatting sqref="H8">
    <cfRule type="cellIs" dxfId="234" priority="62" stopIfTrue="1" operator="equal">
      <formula>"May be visited"</formula>
    </cfRule>
  </conditionalFormatting>
  <conditionalFormatting sqref="H8">
    <cfRule type="cellIs" dxfId="233" priority="63" stopIfTrue="1" operator="equal">
      <formula>"Don't visit"</formula>
    </cfRule>
  </conditionalFormatting>
  <conditionalFormatting sqref="I8">
    <cfRule type="cellIs" dxfId="232" priority="64" stopIfTrue="1" operator="greaterThan">
      <formula>G8-F8 + 0.0001</formula>
    </cfRule>
  </conditionalFormatting>
  <conditionalFormatting sqref="A9">
    <cfRule type="expression" dxfId="231" priority="65" stopIfTrue="1">
      <formula>ISBLANK(A9)</formula>
    </cfRule>
  </conditionalFormatting>
  <conditionalFormatting sqref="F9">
    <cfRule type="cellIs" dxfId="230" priority="67" stopIfTrue="1" operator="greaterThan">
      <formula>G9-$I$9</formula>
    </cfRule>
  </conditionalFormatting>
  <conditionalFormatting sqref="G9">
    <cfRule type="cellIs" dxfId="229" priority="68" stopIfTrue="1" operator="lessThan">
      <formula>F9+$I$9</formula>
    </cfRule>
  </conditionalFormatting>
  <conditionalFormatting sqref="H9">
    <cfRule type="cellIs" dxfId="228" priority="69" stopIfTrue="1" operator="equal">
      <formula>"May be visited"</formula>
    </cfRule>
  </conditionalFormatting>
  <conditionalFormatting sqref="H9">
    <cfRule type="cellIs" dxfId="227" priority="70" stopIfTrue="1" operator="equal">
      <formula>"Don't visit"</formula>
    </cfRule>
  </conditionalFormatting>
  <conditionalFormatting sqref="I9">
    <cfRule type="cellIs" dxfId="226" priority="71" stopIfTrue="1" operator="greaterThan">
      <formula>G9-F9 + 0.0001</formula>
    </cfRule>
  </conditionalFormatting>
  <conditionalFormatting sqref="A10">
    <cfRule type="expression" dxfId="225" priority="72" stopIfTrue="1">
      <formula>ISBLANK(A10)</formula>
    </cfRule>
  </conditionalFormatting>
  <conditionalFormatting sqref="F10">
    <cfRule type="cellIs" dxfId="224" priority="74" stopIfTrue="1" operator="greaterThan">
      <formula>G10-$I$10</formula>
    </cfRule>
  </conditionalFormatting>
  <conditionalFormatting sqref="G10">
    <cfRule type="cellIs" dxfId="223" priority="75" stopIfTrue="1" operator="lessThan">
      <formula>F10+$I$10</formula>
    </cfRule>
  </conditionalFormatting>
  <conditionalFormatting sqref="H10">
    <cfRule type="cellIs" dxfId="222" priority="76" stopIfTrue="1" operator="equal">
      <formula>"May be visited"</formula>
    </cfRule>
  </conditionalFormatting>
  <conditionalFormatting sqref="H10">
    <cfRule type="cellIs" dxfId="221" priority="77" stopIfTrue="1" operator="equal">
      <formula>"Don't visit"</formula>
    </cfRule>
  </conditionalFormatting>
  <conditionalFormatting sqref="I10">
    <cfRule type="cellIs" dxfId="220" priority="78" stopIfTrue="1" operator="greaterThan">
      <formula>G10-F10 + 0.0001</formula>
    </cfRule>
  </conditionalFormatting>
  <conditionalFormatting sqref="A11">
    <cfRule type="expression" dxfId="219" priority="79" stopIfTrue="1">
      <formula>ISBLANK(A11)</formula>
    </cfRule>
  </conditionalFormatting>
  <conditionalFormatting sqref="F11">
    <cfRule type="cellIs" dxfId="218" priority="81" stopIfTrue="1" operator="greaterThan">
      <formula>G11-$I$11</formula>
    </cfRule>
  </conditionalFormatting>
  <conditionalFormatting sqref="G11">
    <cfRule type="cellIs" dxfId="217" priority="82" stopIfTrue="1" operator="lessThan">
      <formula>F11+$I$11</formula>
    </cfRule>
  </conditionalFormatting>
  <conditionalFormatting sqref="H11">
    <cfRule type="cellIs" dxfId="216" priority="83" stopIfTrue="1" operator="equal">
      <formula>"May be visited"</formula>
    </cfRule>
  </conditionalFormatting>
  <conditionalFormatting sqref="H11">
    <cfRule type="cellIs" dxfId="215" priority="84" stopIfTrue="1" operator="equal">
      <formula>"Don't visit"</formula>
    </cfRule>
  </conditionalFormatting>
  <conditionalFormatting sqref="I11">
    <cfRule type="cellIs" dxfId="214" priority="85" stopIfTrue="1" operator="greaterThan">
      <formula>G11-F11 + 0.0001</formula>
    </cfRule>
  </conditionalFormatting>
  <conditionalFormatting sqref="A12">
    <cfRule type="expression" dxfId="213" priority="86" stopIfTrue="1">
      <formula>ISBLANK(A12)</formula>
    </cfRule>
  </conditionalFormatting>
  <conditionalFormatting sqref="F12">
    <cfRule type="cellIs" dxfId="212" priority="88" stopIfTrue="1" operator="greaterThan">
      <formula>G12-$I$12</formula>
    </cfRule>
  </conditionalFormatting>
  <conditionalFormatting sqref="G12">
    <cfRule type="cellIs" dxfId="211" priority="89" stopIfTrue="1" operator="lessThan">
      <formula>F12+$I$12</formula>
    </cfRule>
  </conditionalFormatting>
  <conditionalFormatting sqref="H12">
    <cfRule type="cellIs" dxfId="210" priority="90" stopIfTrue="1" operator="equal">
      <formula>"May be visited"</formula>
    </cfRule>
  </conditionalFormatting>
  <conditionalFormatting sqref="H12">
    <cfRule type="cellIs" dxfId="209" priority="91" stopIfTrue="1" operator="equal">
      <formula>"Don't visit"</formula>
    </cfRule>
  </conditionalFormatting>
  <conditionalFormatting sqref="I12">
    <cfRule type="cellIs" dxfId="208" priority="92" stopIfTrue="1" operator="greaterThan">
      <formula>G12-F12 + 0.0001</formula>
    </cfRule>
  </conditionalFormatting>
  <conditionalFormatting sqref="A13">
    <cfRule type="expression" dxfId="207" priority="93" stopIfTrue="1">
      <formula>ISBLANK(A13)</formula>
    </cfRule>
  </conditionalFormatting>
  <conditionalFormatting sqref="F13">
    <cfRule type="cellIs" dxfId="206" priority="95" stopIfTrue="1" operator="greaterThan">
      <formula>G13-$I$13</formula>
    </cfRule>
  </conditionalFormatting>
  <conditionalFormatting sqref="G13">
    <cfRule type="cellIs" dxfId="205" priority="96" stopIfTrue="1" operator="lessThan">
      <formula>F13+$I$13</formula>
    </cfRule>
  </conditionalFormatting>
  <conditionalFormatting sqref="H13">
    <cfRule type="cellIs" dxfId="204" priority="97" stopIfTrue="1" operator="equal">
      <formula>"May be visited"</formula>
    </cfRule>
  </conditionalFormatting>
  <conditionalFormatting sqref="H13">
    <cfRule type="cellIs" dxfId="203" priority="98" stopIfTrue="1" operator="equal">
      <formula>"Don't visit"</formula>
    </cfRule>
  </conditionalFormatting>
  <conditionalFormatting sqref="I13">
    <cfRule type="cellIs" dxfId="202" priority="99" stopIfTrue="1" operator="greaterThan">
      <formula>G13-F13 + 0.0001</formula>
    </cfRule>
  </conditionalFormatting>
  <conditionalFormatting sqref="A14">
    <cfRule type="expression" dxfId="201" priority="100" stopIfTrue="1">
      <formula>ISBLANK(A14)</formula>
    </cfRule>
  </conditionalFormatting>
  <conditionalFormatting sqref="F14">
    <cfRule type="cellIs" dxfId="200" priority="102" stopIfTrue="1" operator="greaterThan">
      <formula>G14-$I$14</formula>
    </cfRule>
  </conditionalFormatting>
  <conditionalFormatting sqref="G14">
    <cfRule type="cellIs" dxfId="199" priority="103" stopIfTrue="1" operator="lessThan">
      <formula>F14+$I$14</formula>
    </cfRule>
  </conditionalFormatting>
  <conditionalFormatting sqref="H14">
    <cfRule type="cellIs" dxfId="198" priority="104" stopIfTrue="1" operator="equal">
      <formula>"May be visited"</formula>
    </cfRule>
  </conditionalFormatting>
  <conditionalFormatting sqref="H14">
    <cfRule type="cellIs" dxfId="197" priority="105" stopIfTrue="1" operator="equal">
      <formula>"Don't visit"</formula>
    </cfRule>
  </conditionalFormatting>
  <conditionalFormatting sqref="I14">
    <cfRule type="cellIs" dxfId="196" priority="106" stopIfTrue="1" operator="greaterThan">
      <formula>G14-F14 + 0.0001</formula>
    </cfRule>
  </conditionalFormatting>
  <conditionalFormatting sqref="A15">
    <cfRule type="expression" dxfId="195" priority="107" stopIfTrue="1">
      <formula>ISBLANK(A15)</formula>
    </cfRule>
  </conditionalFormatting>
  <conditionalFormatting sqref="F15">
    <cfRule type="cellIs" dxfId="194" priority="109" stopIfTrue="1" operator="greaterThan">
      <formula>G15-$I$15</formula>
    </cfRule>
  </conditionalFormatting>
  <conditionalFormatting sqref="G15">
    <cfRule type="cellIs" dxfId="193" priority="110" stopIfTrue="1" operator="lessThan">
      <formula>F15+$I$15</formula>
    </cfRule>
  </conditionalFormatting>
  <conditionalFormatting sqref="H15">
    <cfRule type="cellIs" dxfId="192" priority="111" stopIfTrue="1" operator="equal">
      <formula>"May be visited"</formula>
    </cfRule>
  </conditionalFormatting>
  <conditionalFormatting sqref="H15">
    <cfRule type="cellIs" dxfId="191" priority="112" stopIfTrue="1" operator="equal">
      <formula>"Don't visit"</formula>
    </cfRule>
  </conditionalFormatting>
  <conditionalFormatting sqref="I15">
    <cfRule type="cellIs" dxfId="190" priority="113" stopIfTrue="1" operator="greaterThan">
      <formula>G15-F15 + 0.0001</formula>
    </cfRule>
  </conditionalFormatting>
  <conditionalFormatting sqref="A16">
    <cfRule type="expression" dxfId="189" priority="114" stopIfTrue="1">
      <formula>ISBLANK(A16)</formula>
    </cfRule>
  </conditionalFormatting>
  <conditionalFormatting sqref="F16">
    <cfRule type="cellIs" dxfId="188" priority="116" stopIfTrue="1" operator="greaterThan">
      <formula>G16-$I$16</formula>
    </cfRule>
  </conditionalFormatting>
  <conditionalFormatting sqref="G16">
    <cfRule type="cellIs" dxfId="187" priority="117" stopIfTrue="1" operator="lessThan">
      <formula>F16+$I$16</formula>
    </cfRule>
  </conditionalFormatting>
  <conditionalFormatting sqref="H16">
    <cfRule type="cellIs" dxfId="186" priority="118" stopIfTrue="1" operator="equal">
      <formula>"May be visited"</formula>
    </cfRule>
  </conditionalFormatting>
  <conditionalFormatting sqref="H16">
    <cfRule type="cellIs" dxfId="185" priority="119" stopIfTrue="1" operator="equal">
      <formula>"Don't visit"</formula>
    </cfRule>
  </conditionalFormatting>
  <conditionalFormatting sqref="I16">
    <cfRule type="cellIs" dxfId="184" priority="120" stopIfTrue="1" operator="greaterThan">
      <formula>G16-F16 + 0.0001</formula>
    </cfRule>
  </conditionalFormatting>
  <conditionalFormatting sqref="J3:J16">
    <cfRule type="cellIs" dxfId="183" priority="121" stopIfTrue="1" operator="lessThan">
      <formula>0</formula>
    </cfRule>
  </conditionalFormatting>
  <conditionalFormatting sqref="B2">
    <cfRule type="expression" dxfId="182" priority="16" stopIfTrue="1">
      <formula>ISBLANK(B2)</formula>
    </cfRule>
  </conditionalFormatting>
  <conditionalFormatting sqref="B2">
    <cfRule type="duplicateValues" dxfId="181" priority="17"/>
  </conditionalFormatting>
  <conditionalFormatting sqref="B3">
    <cfRule type="expression" dxfId="180" priority="1" stopIfTrue="1">
      <formula>ISBLANK(B3)</formula>
    </cfRule>
  </conditionalFormatting>
  <conditionalFormatting sqref="B4">
    <cfRule type="expression" dxfId="179" priority="2" stopIfTrue="1">
      <formula>ISBLANK(B4)</formula>
    </cfRule>
  </conditionalFormatting>
  <conditionalFormatting sqref="B5">
    <cfRule type="expression" dxfId="178" priority="3" stopIfTrue="1">
      <formula>ISBLANK(B5)</formula>
    </cfRule>
  </conditionalFormatting>
  <conditionalFormatting sqref="B6">
    <cfRule type="expression" dxfId="177" priority="4" stopIfTrue="1">
      <formula>ISBLANK(B6)</formula>
    </cfRule>
  </conditionalFormatting>
  <conditionalFormatting sqref="B7">
    <cfRule type="expression" dxfId="176" priority="5" stopIfTrue="1">
      <formula>ISBLANK(B7)</formula>
    </cfRule>
  </conditionalFormatting>
  <conditionalFormatting sqref="B8">
    <cfRule type="expression" dxfId="175" priority="6" stopIfTrue="1">
      <formula>ISBLANK(B8)</formula>
    </cfRule>
  </conditionalFormatting>
  <conditionalFormatting sqref="B9">
    <cfRule type="expression" dxfId="174" priority="7" stopIfTrue="1">
      <formula>ISBLANK(B9)</formula>
    </cfRule>
  </conditionalFormatting>
  <conditionalFormatting sqref="B10">
    <cfRule type="expression" dxfId="173" priority="8" stopIfTrue="1">
      <formula>ISBLANK(B10)</formula>
    </cfRule>
  </conditionalFormatting>
  <conditionalFormatting sqref="B11">
    <cfRule type="expression" dxfId="172" priority="9" stopIfTrue="1">
      <formula>ISBLANK(B11)</formula>
    </cfRule>
  </conditionalFormatting>
  <conditionalFormatting sqref="B12">
    <cfRule type="expression" dxfId="171" priority="10" stopIfTrue="1">
      <formula>ISBLANK(B12)</formula>
    </cfRule>
  </conditionalFormatting>
  <conditionalFormatting sqref="B13">
    <cfRule type="expression" dxfId="170" priority="11" stopIfTrue="1">
      <formula>ISBLANK(B13)</formula>
    </cfRule>
  </conditionalFormatting>
  <conditionalFormatting sqref="B14">
    <cfRule type="expression" dxfId="169" priority="12" stopIfTrue="1">
      <formula>ISBLANK(B14)</formula>
    </cfRule>
  </conditionalFormatting>
  <conditionalFormatting sqref="B15">
    <cfRule type="expression" dxfId="168" priority="13" stopIfTrue="1">
      <formula>ISBLANK(B15)</formula>
    </cfRule>
  </conditionalFormatting>
  <conditionalFormatting sqref="B16">
    <cfRule type="expression" dxfId="167" priority="14" stopIfTrue="1">
      <formula>ISBLANK(B16)</formula>
    </cfRule>
  </conditionalFormatting>
  <conditionalFormatting sqref="B3:B16">
    <cfRule type="duplicateValues" dxfId="166" priority="15"/>
  </conditionalFormatting>
  <dataValidations count="2">
    <dataValidation type="decimal" operator="greaterThan" allowBlank="1" showInputMessage="1" showErrorMessage="1" error="Please enter a nonnegative value" sqref="K2:K16" xr:uid="{F392ABD2-A3DF-394E-AD7C-1F098401E217}">
      <formula1>-0.0001</formula1>
    </dataValidation>
    <dataValidation type="list" allowBlank="1" showInputMessage="1" showErrorMessage="1" sqref="H3 H4 H5 H6 H7 H8 H9 H10 H11 H12 H13 H14 H15 H16" xr:uid="{16A8006B-9406-C94C-8FC0-DDB036EBF17F}">
      <formula1>"Must be visited,May be visited,Don't visit"</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7DF6D-7675-194A-BF9B-B1097BC48C92}">
  <dimension ref="A1:N227"/>
  <sheetViews>
    <sheetView workbookViewId="0"/>
  </sheetViews>
  <sheetFormatPr baseColWidth="10" defaultRowHeight="15" x14ac:dyDescent="0.2"/>
  <cols>
    <col min="1" max="2" width="20.1640625" bestFit="1" customWidth="1"/>
    <col min="3" max="3" width="7.83203125" bestFit="1" customWidth="1"/>
    <col min="4" max="4" width="8" bestFit="1" customWidth="1"/>
    <col min="5" max="5" width="22.33203125" hidden="1" customWidth="1"/>
    <col min="6" max="6" width="23.6640625" hidden="1" customWidth="1"/>
    <col min="7" max="7" width="22.33203125" hidden="1" customWidth="1"/>
    <col min="8" max="8" width="23.6640625" hidden="1" customWidth="1"/>
    <col min="9" max="9" width="22.33203125" hidden="1" customWidth="1"/>
    <col min="10" max="10" width="23.6640625" hidden="1" customWidth="1"/>
    <col min="11" max="11" width="22.33203125" hidden="1" customWidth="1"/>
    <col min="12" max="12" width="23.6640625" hidden="1" customWidth="1"/>
    <col min="13" max="13" width="22.33203125" hidden="1" customWidth="1"/>
    <col min="14" max="14" width="23.6640625" hidden="1" customWidth="1"/>
    <col min="15" max="15" width="0" hidden="1" customWidth="1"/>
  </cols>
  <sheetData>
    <row r="1" spans="1:14" x14ac:dyDescent="0.2">
      <c r="A1" s="19" t="s">
        <v>559</v>
      </c>
      <c r="B1" s="19" t="s">
        <v>4303</v>
      </c>
      <c r="C1" s="19"/>
      <c r="D1" s="19"/>
      <c r="E1" s="19"/>
      <c r="F1" s="19"/>
      <c r="G1" s="19"/>
      <c r="H1" s="19"/>
      <c r="I1" s="19"/>
      <c r="J1" s="19"/>
      <c r="K1" s="19"/>
      <c r="L1" s="19"/>
      <c r="M1" s="19"/>
      <c r="N1" s="19"/>
    </row>
    <row r="2" spans="1:14" x14ac:dyDescent="0.2">
      <c r="A2" s="19" t="s">
        <v>547</v>
      </c>
      <c r="B2" s="19" t="s">
        <v>600</v>
      </c>
      <c r="C2" s="19" t="s">
        <v>531</v>
      </c>
      <c r="D2" s="19" t="s">
        <v>540</v>
      </c>
      <c r="E2" s="19" t="s">
        <v>4296</v>
      </c>
      <c r="F2" s="19" t="s">
        <v>4297</v>
      </c>
      <c r="G2" s="19" t="s">
        <v>4298</v>
      </c>
      <c r="H2" s="19" t="s">
        <v>4299</v>
      </c>
      <c r="I2" s="19" t="s">
        <v>4300</v>
      </c>
      <c r="J2" s="19" t="s">
        <v>4301</v>
      </c>
      <c r="K2" s="19" t="s">
        <v>4308</v>
      </c>
      <c r="L2" s="19" t="s">
        <v>4309</v>
      </c>
      <c r="M2" s="19" t="s">
        <v>4310</v>
      </c>
      <c r="N2" s="19" t="s">
        <v>4311</v>
      </c>
    </row>
    <row r="3" spans="1:14" x14ac:dyDescent="0.2">
      <c r="A3" s="17" t="s">
        <v>527</v>
      </c>
      <c r="B3" s="17" t="s">
        <v>527</v>
      </c>
      <c r="C3" s="53">
        <v>0</v>
      </c>
      <c r="D3" s="23">
        <v>0</v>
      </c>
      <c r="E3" s="54">
        <f>'1.Locations'!D2</f>
        <v>37.764751264890002</v>
      </c>
      <c r="F3" s="54">
        <f>'1.Locations'!E2</f>
        <v>128.901215118675</v>
      </c>
      <c r="G3" s="54">
        <f>'1.Locations'!D2</f>
        <v>37.764751264890002</v>
      </c>
      <c r="H3" s="54">
        <f>'1.Locations'!E2</f>
        <v>128.901215118675</v>
      </c>
      <c r="I3" s="54">
        <f>'1.Locations'!D2</f>
        <v>37.764751264890002</v>
      </c>
      <c r="J3" s="54">
        <f>'1.Locations'!E2</f>
        <v>128.901215118675</v>
      </c>
      <c r="K3" s="54">
        <f>'1.Locations'!D2</f>
        <v>37.764751264890002</v>
      </c>
      <c r="L3" s="54">
        <f>'1.Locations'!E2</f>
        <v>128.901215118675</v>
      </c>
      <c r="M3" s="54">
        <f>'1.Locations'!D2</f>
        <v>37.764751264890002</v>
      </c>
      <c r="N3" s="54">
        <f>'1.Locations'!E2</f>
        <v>128.901215118675</v>
      </c>
    </row>
    <row r="4" spans="1:14" x14ac:dyDescent="0.2">
      <c r="A4" s="16" t="s">
        <v>527</v>
      </c>
      <c r="B4" s="16" t="s">
        <v>4267</v>
      </c>
      <c r="C4" s="55">
        <v>4.5709999999999997</v>
      </c>
      <c r="D4" s="29">
        <v>5.5555555555555558E-3</v>
      </c>
      <c r="E4" s="56">
        <v>37.769030000000001</v>
      </c>
      <c r="F4" s="56">
        <v>128.90548999999999</v>
      </c>
      <c r="G4" s="56">
        <v>37.771500000000003</v>
      </c>
      <c r="H4" s="56">
        <v>128.91055</v>
      </c>
      <c r="I4" s="56">
        <v>37.777050000000003</v>
      </c>
      <c r="J4" s="56">
        <v>128.91638</v>
      </c>
      <c r="K4" s="56">
        <v>37.785029999999999</v>
      </c>
      <c r="L4" s="56">
        <v>128.92103</v>
      </c>
      <c r="M4" s="56">
        <v>37.786960000000001</v>
      </c>
      <c r="N4" s="56">
        <v>128.92365000000001</v>
      </c>
    </row>
    <row r="5" spans="1:14" x14ac:dyDescent="0.2">
      <c r="A5" s="16" t="s">
        <v>527</v>
      </c>
      <c r="B5" s="16" t="s">
        <v>4268</v>
      </c>
      <c r="C5" s="59">
        <v>3.8530000000000002</v>
      </c>
      <c r="D5" s="28">
        <v>4.8611111111111112E-3</v>
      </c>
      <c r="E5" s="60">
        <v>37.769820000000003</v>
      </c>
      <c r="F5" s="60">
        <v>128.90646000000001</v>
      </c>
      <c r="G5" s="60">
        <v>37.771000000000001</v>
      </c>
      <c r="H5" s="60">
        <v>128.90052</v>
      </c>
      <c r="I5" s="60">
        <v>37.774619999999999</v>
      </c>
      <c r="J5" s="60">
        <v>128.90199999999999</v>
      </c>
      <c r="K5" s="60">
        <v>37.780290000000001</v>
      </c>
      <c r="L5" s="60">
        <v>128.90280000000001</v>
      </c>
      <c r="M5" s="60">
        <v>37.784280000000003</v>
      </c>
      <c r="N5" s="60">
        <v>128.90369000000001</v>
      </c>
    </row>
    <row r="6" spans="1:14" x14ac:dyDescent="0.2">
      <c r="A6" s="16" t="s">
        <v>527</v>
      </c>
      <c r="B6" s="16" t="s">
        <v>4269</v>
      </c>
      <c r="C6" s="55">
        <v>2.3620000000000001</v>
      </c>
      <c r="D6" s="29">
        <v>4.1666666666666666E-3</v>
      </c>
      <c r="E6" s="56">
        <v>37.767629999999997</v>
      </c>
      <c r="F6" s="56">
        <v>128.90379999999999</v>
      </c>
      <c r="G6" s="56">
        <v>37.770310000000002</v>
      </c>
      <c r="H6" s="56">
        <v>128.90303</v>
      </c>
      <c r="I6" s="56">
        <v>37.771529999999998</v>
      </c>
      <c r="J6" s="56">
        <v>128.90049999999999</v>
      </c>
      <c r="K6" s="56">
        <v>37.774470000000001</v>
      </c>
      <c r="L6" s="56">
        <v>128.89868000000001</v>
      </c>
      <c r="M6" s="56">
        <v>37.776859999999999</v>
      </c>
      <c r="N6" s="56">
        <v>128.89673999999999</v>
      </c>
    </row>
    <row r="7" spans="1:14" x14ac:dyDescent="0.2">
      <c r="A7" s="16" t="s">
        <v>527</v>
      </c>
      <c r="B7" s="16" t="s">
        <v>4270</v>
      </c>
      <c r="C7" s="59">
        <v>5.2930000000000001</v>
      </c>
      <c r="D7" s="28">
        <v>6.2499999999999995E-3</v>
      </c>
      <c r="E7" s="60">
        <v>37.770119999999999</v>
      </c>
      <c r="F7" s="60">
        <v>128.90607</v>
      </c>
      <c r="G7" s="60">
        <v>37.772649999999999</v>
      </c>
      <c r="H7" s="60">
        <v>128.91184000000001</v>
      </c>
      <c r="I7" s="60">
        <v>37.781269999999999</v>
      </c>
      <c r="J7" s="60">
        <v>128.91918000000001</v>
      </c>
      <c r="K7" s="60">
        <v>37.786670000000001</v>
      </c>
      <c r="L7" s="60">
        <v>128.92365000000001</v>
      </c>
      <c r="M7" s="60">
        <v>37.793810000000001</v>
      </c>
      <c r="N7" s="60">
        <v>128.91716</v>
      </c>
    </row>
    <row r="8" spans="1:14" x14ac:dyDescent="0.2">
      <c r="A8" s="16" t="s">
        <v>527</v>
      </c>
      <c r="B8" s="16" t="s">
        <v>4271</v>
      </c>
      <c r="C8" s="55">
        <v>5.2290000000000001</v>
      </c>
      <c r="D8" s="29">
        <v>5.5555555555555558E-3</v>
      </c>
      <c r="E8" s="56">
        <v>37.770400000000002</v>
      </c>
      <c r="F8" s="56">
        <v>128.90506999999999</v>
      </c>
      <c r="G8" s="56">
        <v>37.773510000000002</v>
      </c>
      <c r="H8" s="56">
        <v>128.89982000000001</v>
      </c>
      <c r="I8" s="56">
        <v>37.777949999999997</v>
      </c>
      <c r="J8" s="56">
        <v>128.89617000000001</v>
      </c>
      <c r="K8" s="56">
        <v>37.78116</v>
      </c>
      <c r="L8" s="56">
        <v>128.89458999999999</v>
      </c>
      <c r="M8" s="56">
        <v>37.785899999999998</v>
      </c>
      <c r="N8" s="56">
        <v>128.89349000000001</v>
      </c>
    </row>
    <row r="9" spans="1:14" x14ac:dyDescent="0.2">
      <c r="A9" s="16" t="s">
        <v>527</v>
      </c>
      <c r="B9" s="16" t="s">
        <v>4272</v>
      </c>
      <c r="C9" s="59">
        <v>4.34</v>
      </c>
      <c r="D9" s="28">
        <v>4.8611111111111112E-3</v>
      </c>
      <c r="E9" s="60">
        <v>37.770429999999998</v>
      </c>
      <c r="F9" s="60">
        <v>128.90562</v>
      </c>
      <c r="G9" s="60">
        <v>37.772359999999999</v>
      </c>
      <c r="H9" s="60">
        <v>128.90048999999999</v>
      </c>
      <c r="I9" s="60">
        <v>37.77675</v>
      </c>
      <c r="J9" s="60">
        <v>128.89684</v>
      </c>
      <c r="K9" s="60">
        <v>37.781030000000001</v>
      </c>
      <c r="L9" s="60">
        <v>128.89487</v>
      </c>
      <c r="M9" s="60">
        <v>37.78425</v>
      </c>
      <c r="N9" s="60">
        <v>128.89263</v>
      </c>
    </row>
    <row r="10" spans="1:14" x14ac:dyDescent="0.2">
      <c r="A10" s="16" t="s">
        <v>527</v>
      </c>
      <c r="B10" s="16" t="s">
        <v>4273</v>
      </c>
      <c r="C10" s="55">
        <v>4.7060000000000004</v>
      </c>
      <c r="D10" s="29">
        <v>5.5555555555555558E-3</v>
      </c>
      <c r="E10" s="56">
        <v>37.770409999999998</v>
      </c>
      <c r="F10" s="56">
        <v>128.90535</v>
      </c>
      <c r="G10" s="56">
        <v>37.772959999999998</v>
      </c>
      <c r="H10" s="56">
        <v>128.90017</v>
      </c>
      <c r="I10" s="56">
        <v>37.777189999999997</v>
      </c>
      <c r="J10" s="56">
        <v>128.89644000000001</v>
      </c>
      <c r="K10" s="56">
        <v>37.781149999999997</v>
      </c>
      <c r="L10" s="56">
        <v>128.8948</v>
      </c>
      <c r="M10" s="56">
        <v>37.785060000000001</v>
      </c>
      <c r="N10" s="56">
        <v>128.89330000000001</v>
      </c>
    </row>
    <row r="11" spans="1:14" x14ac:dyDescent="0.2">
      <c r="A11" s="16" t="s">
        <v>527</v>
      </c>
      <c r="B11" s="16" t="s">
        <v>4274</v>
      </c>
      <c r="C11" s="59">
        <v>4.3899999999999997</v>
      </c>
      <c r="D11" s="28">
        <v>4.8611111111111112E-3</v>
      </c>
      <c r="E11" s="60">
        <v>37.770400000000002</v>
      </c>
      <c r="F11" s="60">
        <v>128.90506999999999</v>
      </c>
      <c r="G11" s="60">
        <v>37.770890000000001</v>
      </c>
      <c r="H11" s="60">
        <v>128.89818</v>
      </c>
      <c r="I11" s="60">
        <v>37.770780000000002</v>
      </c>
      <c r="J11" s="60">
        <v>128.89141000000001</v>
      </c>
      <c r="K11" s="60">
        <v>37.777700000000003</v>
      </c>
      <c r="L11" s="60">
        <v>128.88560000000001</v>
      </c>
      <c r="M11" s="60">
        <v>37.784050000000001</v>
      </c>
      <c r="N11" s="60">
        <v>128.88050000000001</v>
      </c>
    </row>
    <row r="12" spans="1:14" x14ac:dyDescent="0.2">
      <c r="A12" s="16" t="s">
        <v>527</v>
      </c>
      <c r="B12" s="16" t="s">
        <v>4275</v>
      </c>
      <c r="C12" s="55">
        <v>3.6659999999999999</v>
      </c>
      <c r="D12" s="29">
        <v>4.1666666666666666E-3</v>
      </c>
      <c r="E12" s="56">
        <v>37.769030000000001</v>
      </c>
      <c r="F12" s="56">
        <v>128.90548999999999</v>
      </c>
      <c r="G12" s="56">
        <v>37.770789999999998</v>
      </c>
      <c r="H12" s="56">
        <v>128.90072000000001</v>
      </c>
      <c r="I12" s="56">
        <v>37.769979999999997</v>
      </c>
      <c r="J12" s="56">
        <v>128.89657</v>
      </c>
      <c r="K12" s="56">
        <v>37.770910000000001</v>
      </c>
      <c r="L12" s="56">
        <v>128.89129</v>
      </c>
      <c r="M12" s="56">
        <v>37.776980000000002</v>
      </c>
      <c r="N12" s="56">
        <v>128.88641999999999</v>
      </c>
    </row>
    <row r="13" spans="1:14" x14ac:dyDescent="0.2">
      <c r="A13" s="16" t="s">
        <v>527</v>
      </c>
      <c r="B13" s="16" t="s">
        <v>4276</v>
      </c>
      <c r="C13" s="59">
        <v>5.819</v>
      </c>
      <c r="D13" s="28">
        <v>6.9444444444444441E-3</v>
      </c>
      <c r="E13" s="60">
        <v>37.769820000000003</v>
      </c>
      <c r="F13" s="60">
        <v>128.90646000000001</v>
      </c>
      <c r="G13" s="60">
        <v>37.771590000000003</v>
      </c>
      <c r="H13" s="60">
        <v>128.91069999999999</v>
      </c>
      <c r="I13" s="60">
        <v>37.778390000000002</v>
      </c>
      <c r="J13" s="60">
        <v>128.9177</v>
      </c>
      <c r="K13" s="60">
        <v>37.786000000000001</v>
      </c>
      <c r="L13" s="60">
        <v>128.92229</v>
      </c>
      <c r="M13" s="60">
        <v>37.782339999999998</v>
      </c>
      <c r="N13" s="60">
        <v>128.93089000000001</v>
      </c>
    </row>
    <row r="14" spans="1:14" x14ac:dyDescent="0.2">
      <c r="A14" s="16" t="s">
        <v>527</v>
      </c>
      <c r="B14" s="16" t="s">
        <v>4277</v>
      </c>
      <c r="C14" s="55">
        <v>5.109</v>
      </c>
      <c r="D14" s="29">
        <v>5.5555555555555558E-3</v>
      </c>
      <c r="E14" s="56">
        <v>37.769030000000001</v>
      </c>
      <c r="F14" s="56">
        <v>128.90548999999999</v>
      </c>
      <c r="G14" s="56">
        <v>37.771500000000003</v>
      </c>
      <c r="H14" s="56">
        <v>128.91055</v>
      </c>
      <c r="I14" s="56">
        <v>37.777050000000003</v>
      </c>
      <c r="J14" s="56">
        <v>128.91638</v>
      </c>
      <c r="K14" s="56">
        <v>37.785029999999999</v>
      </c>
      <c r="L14" s="56">
        <v>128.92103</v>
      </c>
      <c r="M14" s="56">
        <v>37.783000000000001</v>
      </c>
      <c r="N14" s="56">
        <v>128.93019000000001</v>
      </c>
    </row>
    <row r="15" spans="1:14" x14ac:dyDescent="0.2">
      <c r="A15" s="16" t="s">
        <v>527</v>
      </c>
      <c r="B15" s="16" t="s">
        <v>4278</v>
      </c>
      <c r="C15" s="59">
        <v>3.9940000000000002</v>
      </c>
      <c r="D15" s="28">
        <v>4.8611111111111112E-3</v>
      </c>
      <c r="E15" s="60">
        <v>37.768329999999999</v>
      </c>
      <c r="F15" s="60">
        <v>128.90464</v>
      </c>
      <c r="G15" s="60">
        <v>37.771259999999998</v>
      </c>
      <c r="H15" s="60">
        <v>128.90983</v>
      </c>
      <c r="I15" s="60">
        <v>37.774799999999999</v>
      </c>
      <c r="J15" s="60">
        <v>128.91406000000001</v>
      </c>
      <c r="K15" s="60">
        <v>37.7821</v>
      </c>
      <c r="L15" s="60">
        <v>128.91956999999999</v>
      </c>
      <c r="M15" s="60">
        <v>37.786670000000001</v>
      </c>
      <c r="N15" s="60">
        <v>128.92348999999999</v>
      </c>
    </row>
    <row r="16" spans="1:14" x14ac:dyDescent="0.2">
      <c r="A16" s="16" t="s">
        <v>527</v>
      </c>
      <c r="B16" s="16" t="s">
        <v>4279</v>
      </c>
      <c r="C16" s="55">
        <v>5.6070000000000002</v>
      </c>
      <c r="D16" s="29">
        <v>7.6388888888888886E-3</v>
      </c>
      <c r="E16" s="56">
        <v>37.770220000000002</v>
      </c>
      <c r="F16" s="56">
        <v>128.90607</v>
      </c>
      <c r="G16" s="56">
        <v>37.773180000000004</v>
      </c>
      <c r="H16" s="56">
        <v>128.91238000000001</v>
      </c>
      <c r="I16" s="56">
        <v>37.782859999999999</v>
      </c>
      <c r="J16" s="56">
        <v>128.91994</v>
      </c>
      <c r="K16" s="56">
        <v>37.789000000000001</v>
      </c>
      <c r="L16" s="56">
        <v>128.91514000000001</v>
      </c>
      <c r="M16" s="56">
        <v>37.79063</v>
      </c>
      <c r="N16" s="56">
        <v>128.91070999999999</v>
      </c>
    </row>
    <row r="17" spans="1:14" x14ac:dyDescent="0.2">
      <c r="A17" s="16" t="s">
        <v>527</v>
      </c>
      <c r="B17" s="16" t="s">
        <v>4280</v>
      </c>
      <c r="C17" s="59">
        <v>5.5339999999999998</v>
      </c>
      <c r="D17" s="28">
        <v>6.2499999999999995E-3</v>
      </c>
      <c r="E17" s="60">
        <v>37.770220000000002</v>
      </c>
      <c r="F17" s="60">
        <v>128.90607</v>
      </c>
      <c r="G17" s="60">
        <v>37.773180000000004</v>
      </c>
      <c r="H17" s="60">
        <v>128.91238000000001</v>
      </c>
      <c r="I17" s="60">
        <v>37.782859999999999</v>
      </c>
      <c r="J17" s="60">
        <v>128.91994</v>
      </c>
      <c r="K17" s="60">
        <v>37.786850000000001</v>
      </c>
      <c r="L17" s="60">
        <v>128.92376999999999</v>
      </c>
      <c r="M17" s="60">
        <v>37.795499999999997</v>
      </c>
      <c r="N17" s="60">
        <v>128.91356999999999</v>
      </c>
    </row>
    <row r="18" spans="1:14" x14ac:dyDescent="0.2">
      <c r="A18" s="16" t="s">
        <v>4267</v>
      </c>
      <c r="B18" s="16" t="s">
        <v>527</v>
      </c>
      <c r="C18" s="55">
        <v>4.5019999999999998</v>
      </c>
      <c r="D18" s="29">
        <v>5.5555555555555558E-3</v>
      </c>
      <c r="E18" s="56">
        <v>37.787779999999998</v>
      </c>
      <c r="F18" s="56">
        <v>128.92275000000001</v>
      </c>
      <c r="G18" s="56">
        <v>37.784869999999998</v>
      </c>
      <c r="H18" s="56">
        <v>128.92090999999999</v>
      </c>
      <c r="I18" s="56">
        <v>37.778170000000003</v>
      </c>
      <c r="J18" s="56">
        <v>128.91748999999999</v>
      </c>
      <c r="K18" s="56">
        <v>37.77225</v>
      </c>
      <c r="L18" s="56">
        <v>128.91140999999999</v>
      </c>
      <c r="M18" s="56">
        <v>37.76905</v>
      </c>
      <c r="N18" s="56">
        <v>128.90819999999999</v>
      </c>
    </row>
    <row r="19" spans="1:14" x14ac:dyDescent="0.2">
      <c r="A19" s="16" t="s">
        <v>4267</v>
      </c>
      <c r="B19" s="16" t="s">
        <v>4267</v>
      </c>
      <c r="C19" s="59">
        <v>0</v>
      </c>
      <c r="D19" s="28">
        <v>0</v>
      </c>
      <c r="E19" s="60">
        <f>'1.Locations'!D3</f>
        <v>37.795178163769201</v>
      </c>
      <c r="F19" s="60">
        <f>'1.Locations'!E3</f>
        <v>128.916161884438</v>
      </c>
      <c r="G19" s="60">
        <f>'1.Locations'!D3</f>
        <v>37.795178163769201</v>
      </c>
      <c r="H19" s="60">
        <f>'1.Locations'!E3</f>
        <v>128.916161884438</v>
      </c>
      <c r="I19" s="60">
        <f>'1.Locations'!D3</f>
        <v>37.795178163769201</v>
      </c>
      <c r="J19" s="60">
        <f>'1.Locations'!E3</f>
        <v>128.916161884438</v>
      </c>
      <c r="K19" s="60">
        <f>'1.Locations'!D3</f>
        <v>37.795178163769201</v>
      </c>
      <c r="L19" s="60">
        <f>'1.Locations'!E3</f>
        <v>128.916161884438</v>
      </c>
      <c r="M19" s="60">
        <f>'1.Locations'!D3</f>
        <v>37.795178163769201</v>
      </c>
      <c r="N19" s="60">
        <f>'1.Locations'!E3</f>
        <v>128.916161884438</v>
      </c>
    </row>
    <row r="20" spans="1:14" x14ac:dyDescent="0.2">
      <c r="A20" s="16" t="s">
        <v>4267</v>
      </c>
      <c r="B20" s="16" t="s">
        <v>4268</v>
      </c>
      <c r="C20" s="55">
        <v>0.86099999999999999</v>
      </c>
      <c r="D20" s="29">
        <v>6.9444444444444447E-4</v>
      </c>
      <c r="E20" s="56">
        <v>37.79372</v>
      </c>
      <c r="F20" s="56">
        <v>128.91473999999999</v>
      </c>
      <c r="G20" s="56">
        <v>37.792969999999997</v>
      </c>
      <c r="H20" s="56">
        <v>128.91404</v>
      </c>
      <c r="I20" s="56">
        <v>37.792279999999998</v>
      </c>
      <c r="J20" s="56">
        <v>128.91342</v>
      </c>
      <c r="K20" s="56">
        <v>37.791040000000002</v>
      </c>
      <c r="L20" s="56">
        <v>128.91218000000001</v>
      </c>
      <c r="M20" s="56">
        <v>37.790770000000002</v>
      </c>
      <c r="N20" s="56">
        <v>128.91135</v>
      </c>
    </row>
    <row r="21" spans="1:14" x14ac:dyDescent="0.2">
      <c r="A21" s="16" t="s">
        <v>4267</v>
      </c>
      <c r="B21" s="16" t="s">
        <v>4269</v>
      </c>
      <c r="C21" s="59">
        <v>3.1419999999999999</v>
      </c>
      <c r="D21" s="28">
        <v>3.472222222222222E-3</v>
      </c>
      <c r="E21" s="60">
        <v>37.790779999999998</v>
      </c>
      <c r="F21" s="60">
        <v>128.91144</v>
      </c>
      <c r="G21" s="60">
        <v>37.786630000000002</v>
      </c>
      <c r="H21" s="60">
        <v>128.90694999999999</v>
      </c>
      <c r="I21" s="60">
        <v>37.783189999999998</v>
      </c>
      <c r="J21" s="60">
        <v>128.90215000000001</v>
      </c>
      <c r="K21" s="60">
        <v>37.781149999999997</v>
      </c>
      <c r="L21" s="60">
        <v>128.8948</v>
      </c>
      <c r="M21" s="60">
        <v>37.78051</v>
      </c>
      <c r="N21" s="60">
        <v>128.89502999999999</v>
      </c>
    </row>
    <row r="22" spans="1:14" x14ac:dyDescent="0.2">
      <c r="A22" s="16" t="s">
        <v>4267</v>
      </c>
      <c r="B22" s="16" t="s">
        <v>4270</v>
      </c>
      <c r="C22" s="55">
        <v>0.89600000000000002</v>
      </c>
      <c r="D22" s="29">
        <v>1.3888888888888889E-3</v>
      </c>
      <c r="E22" s="56">
        <v>37.795499999999997</v>
      </c>
      <c r="F22" s="56">
        <v>128.91356999999999</v>
      </c>
      <c r="G22" s="56">
        <v>37.79589</v>
      </c>
      <c r="H22" s="56">
        <v>128.91283000000001</v>
      </c>
      <c r="I22" s="56">
        <v>37.79645</v>
      </c>
      <c r="J22" s="56">
        <v>128.91228000000001</v>
      </c>
      <c r="K22" s="56">
        <v>37.79692</v>
      </c>
      <c r="L22" s="56">
        <v>128.91209000000001</v>
      </c>
      <c r="M22" s="56">
        <v>37.797499999999999</v>
      </c>
      <c r="N22" s="56">
        <v>128.91194999999999</v>
      </c>
    </row>
    <row r="23" spans="1:14" x14ac:dyDescent="0.2">
      <c r="A23" s="16" t="s">
        <v>4267</v>
      </c>
      <c r="B23" s="16" t="s">
        <v>4271</v>
      </c>
      <c r="C23" s="59">
        <v>2.056</v>
      </c>
      <c r="D23" s="28">
        <v>2.7777777777777779E-3</v>
      </c>
      <c r="E23" s="60">
        <v>37.795999999999999</v>
      </c>
      <c r="F23" s="60">
        <v>128.91269</v>
      </c>
      <c r="G23" s="60">
        <v>37.797089999999997</v>
      </c>
      <c r="H23" s="60">
        <v>128.91204999999999</v>
      </c>
      <c r="I23" s="60">
        <v>37.800490000000003</v>
      </c>
      <c r="J23" s="60">
        <v>128.91121999999999</v>
      </c>
      <c r="K23" s="60">
        <v>37.803809999999999</v>
      </c>
      <c r="L23" s="60">
        <v>128.90770000000001</v>
      </c>
      <c r="M23" s="60">
        <v>37.804569999999998</v>
      </c>
      <c r="N23" s="60">
        <v>128.90543</v>
      </c>
    </row>
    <row r="24" spans="1:14" x14ac:dyDescent="0.2">
      <c r="A24" s="16" t="s">
        <v>4267</v>
      </c>
      <c r="B24" s="16" t="s">
        <v>4272</v>
      </c>
      <c r="C24" s="55">
        <v>2.9449999999999998</v>
      </c>
      <c r="D24" s="29">
        <v>3.472222222222222E-3</v>
      </c>
      <c r="E24" s="56">
        <v>37.796390000000002</v>
      </c>
      <c r="F24" s="56">
        <v>128.91231999999999</v>
      </c>
      <c r="G24" s="56">
        <v>37.797910000000002</v>
      </c>
      <c r="H24" s="56">
        <v>128.91184999999999</v>
      </c>
      <c r="I24" s="56">
        <v>37.802990000000001</v>
      </c>
      <c r="J24" s="56">
        <v>128.90897000000001</v>
      </c>
      <c r="K24" s="56">
        <v>37.80471</v>
      </c>
      <c r="L24" s="56">
        <v>128.90550999999999</v>
      </c>
      <c r="M24" s="56">
        <v>37.801319999999997</v>
      </c>
      <c r="N24" s="56">
        <v>128.90323000000001</v>
      </c>
    </row>
    <row r="25" spans="1:14" x14ac:dyDescent="0.2">
      <c r="A25" s="16" t="s">
        <v>4267</v>
      </c>
      <c r="B25" s="16" t="s">
        <v>4273</v>
      </c>
      <c r="C25" s="59">
        <v>2.5790000000000002</v>
      </c>
      <c r="D25" s="28">
        <v>2.7777777777777779E-3</v>
      </c>
      <c r="E25" s="60">
        <v>37.796199999999999</v>
      </c>
      <c r="F25" s="60">
        <v>128.91247999999999</v>
      </c>
      <c r="G25" s="60">
        <v>37.797499999999999</v>
      </c>
      <c r="H25" s="60">
        <v>128.91194999999999</v>
      </c>
      <c r="I25" s="60">
        <v>37.801319999999997</v>
      </c>
      <c r="J25" s="60">
        <v>128.91075000000001</v>
      </c>
      <c r="K25" s="60">
        <v>37.804369999999999</v>
      </c>
      <c r="L25" s="60">
        <v>128.90654000000001</v>
      </c>
      <c r="M25" s="60">
        <v>37.802489999999999</v>
      </c>
      <c r="N25" s="60">
        <v>128.90429</v>
      </c>
    </row>
    <row r="26" spans="1:14" x14ac:dyDescent="0.2">
      <c r="A26" s="16" t="s">
        <v>4267</v>
      </c>
      <c r="B26" s="16" t="s">
        <v>4274</v>
      </c>
      <c r="C26" s="55">
        <v>4.8529999999999998</v>
      </c>
      <c r="D26" s="29">
        <v>4.8611111111111112E-3</v>
      </c>
      <c r="E26" s="56">
        <v>37.797159999999998</v>
      </c>
      <c r="F26" s="56">
        <v>128.91202999999999</v>
      </c>
      <c r="G26" s="56">
        <v>37.804279999999999</v>
      </c>
      <c r="H26" s="56">
        <v>128.90672000000001</v>
      </c>
      <c r="I26" s="56">
        <v>37.801119999999997</v>
      </c>
      <c r="J26" s="56">
        <v>128.90296000000001</v>
      </c>
      <c r="K26" s="56">
        <v>37.792969999999997</v>
      </c>
      <c r="L26" s="56">
        <v>128.89636999999999</v>
      </c>
      <c r="M26" s="56">
        <v>37.785719999999998</v>
      </c>
      <c r="N26" s="56">
        <v>128.89152999999999</v>
      </c>
    </row>
    <row r="27" spans="1:14" x14ac:dyDescent="0.2">
      <c r="A27" s="16" t="s">
        <v>4267</v>
      </c>
      <c r="B27" s="16" t="s">
        <v>4275</v>
      </c>
      <c r="C27" s="59">
        <v>4.431</v>
      </c>
      <c r="D27" s="28">
        <v>4.8611111111111112E-3</v>
      </c>
      <c r="E27" s="60">
        <v>37.790559999999999</v>
      </c>
      <c r="F27" s="60">
        <v>128.91059000000001</v>
      </c>
      <c r="G27" s="60">
        <v>37.784379999999999</v>
      </c>
      <c r="H27" s="60">
        <v>128.90374</v>
      </c>
      <c r="I27" s="60">
        <v>37.78145</v>
      </c>
      <c r="J27" s="60">
        <v>128.89576</v>
      </c>
      <c r="K27" s="60">
        <v>37.783940000000001</v>
      </c>
      <c r="L27" s="60">
        <v>128.89167</v>
      </c>
      <c r="M27" s="60">
        <v>37.779209999999999</v>
      </c>
      <c r="N27" s="60">
        <v>128.88657000000001</v>
      </c>
    </row>
    <row r="28" spans="1:14" x14ac:dyDescent="0.2">
      <c r="A28" s="16" t="s">
        <v>4267</v>
      </c>
      <c r="B28" s="16" t="s">
        <v>4276</v>
      </c>
      <c r="C28" s="55">
        <v>3.7629999999999999</v>
      </c>
      <c r="D28" s="29">
        <v>4.1666666666666666E-3</v>
      </c>
      <c r="E28" s="56">
        <v>37.79327</v>
      </c>
      <c r="F28" s="56">
        <v>128.91785999999999</v>
      </c>
      <c r="G28" s="56">
        <v>37.78689</v>
      </c>
      <c r="H28" s="56">
        <v>128.92341999999999</v>
      </c>
      <c r="I28" s="56">
        <v>37.786560000000001</v>
      </c>
      <c r="J28" s="56">
        <v>128.92386999999999</v>
      </c>
      <c r="K28" s="56">
        <v>37.782339999999998</v>
      </c>
      <c r="L28" s="56">
        <v>128.93089000000001</v>
      </c>
      <c r="M28" s="56">
        <v>37.778410000000001</v>
      </c>
      <c r="N28" s="56">
        <v>128.93624</v>
      </c>
    </row>
    <row r="29" spans="1:14" x14ac:dyDescent="0.2">
      <c r="A29" s="16" t="s">
        <v>4267</v>
      </c>
      <c r="B29" s="16" t="s">
        <v>4277</v>
      </c>
      <c r="C29" s="59">
        <v>3.0529999999999999</v>
      </c>
      <c r="D29" s="28">
        <v>3.472222222222222E-3</v>
      </c>
      <c r="E29" s="60">
        <v>37.793469999999999</v>
      </c>
      <c r="F29" s="60">
        <v>128.91764000000001</v>
      </c>
      <c r="G29" s="60">
        <v>37.787210000000002</v>
      </c>
      <c r="H29" s="60">
        <v>128.92321000000001</v>
      </c>
      <c r="I29" s="60">
        <v>37.786650000000002</v>
      </c>
      <c r="J29" s="60">
        <v>128.92357999999999</v>
      </c>
      <c r="K29" s="60">
        <v>37.782890000000002</v>
      </c>
      <c r="L29" s="60">
        <v>128.93035</v>
      </c>
      <c r="M29" s="60">
        <v>37.77966</v>
      </c>
      <c r="N29" s="60">
        <v>128.93321</v>
      </c>
    </row>
    <row r="30" spans="1:14" x14ac:dyDescent="0.2">
      <c r="A30" s="16" t="s">
        <v>4267</v>
      </c>
      <c r="B30" s="16" t="s">
        <v>4278</v>
      </c>
      <c r="C30" s="55">
        <v>0.76700000000000002</v>
      </c>
      <c r="D30" s="29">
        <v>1.3888888888888889E-3</v>
      </c>
      <c r="E30" s="56">
        <v>37.795409999999997</v>
      </c>
      <c r="F30" s="56">
        <v>128.91685000000001</v>
      </c>
      <c r="G30" s="56">
        <v>37.795079999999999</v>
      </c>
      <c r="H30" s="56">
        <v>128.91720000000001</v>
      </c>
      <c r="I30" s="56">
        <v>37.794780000000003</v>
      </c>
      <c r="J30" s="56">
        <v>128.91783000000001</v>
      </c>
      <c r="K30" s="56">
        <v>37.79457</v>
      </c>
      <c r="L30" s="56">
        <v>128.91839999999999</v>
      </c>
      <c r="M30" s="56">
        <v>37.7941</v>
      </c>
      <c r="N30" s="56">
        <v>128.91887</v>
      </c>
    </row>
    <row r="31" spans="1:14" x14ac:dyDescent="0.2">
      <c r="A31" s="16" t="s">
        <v>4267</v>
      </c>
      <c r="B31" s="16" t="s">
        <v>4279</v>
      </c>
      <c r="C31" s="59">
        <v>1.855</v>
      </c>
      <c r="D31" s="28">
        <v>2.7777777777777779E-3</v>
      </c>
      <c r="E31" s="60">
        <v>37.792969999999997</v>
      </c>
      <c r="F31" s="60">
        <v>128.91404</v>
      </c>
      <c r="G31" s="60">
        <v>37.791040000000002</v>
      </c>
      <c r="H31" s="60">
        <v>128.91218000000001</v>
      </c>
      <c r="I31" s="60">
        <v>37.790559999999999</v>
      </c>
      <c r="J31" s="60">
        <v>128.91059000000001</v>
      </c>
      <c r="K31" s="60">
        <v>37.788429999999998</v>
      </c>
      <c r="L31" s="60">
        <v>128.90872999999999</v>
      </c>
      <c r="M31" s="60">
        <v>37.787930000000003</v>
      </c>
      <c r="N31" s="60">
        <v>128.90648999999999</v>
      </c>
    </row>
    <row r="32" spans="1:14" x14ac:dyDescent="0.2">
      <c r="A32" s="16" t="s">
        <v>4267</v>
      </c>
      <c r="B32" s="16" t="s">
        <v>4280</v>
      </c>
      <c r="C32" s="55">
        <v>1.137</v>
      </c>
      <c r="D32" s="29">
        <v>1.3888888888888889E-3</v>
      </c>
      <c r="E32" s="56">
        <v>37.7956</v>
      </c>
      <c r="F32" s="56">
        <v>128.91336999999999</v>
      </c>
      <c r="G32" s="56">
        <v>37.796199999999999</v>
      </c>
      <c r="H32" s="56">
        <v>128.91247999999999</v>
      </c>
      <c r="I32" s="56">
        <v>37.796779999999998</v>
      </c>
      <c r="J32" s="56">
        <v>128.91211999999999</v>
      </c>
      <c r="K32" s="56">
        <v>37.797499999999999</v>
      </c>
      <c r="L32" s="56">
        <v>128.91194999999999</v>
      </c>
      <c r="M32" s="56">
        <v>37.799570000000003</v>
      </c>
      <c r="N32" s="56">
        <v>128.91148000000001</v>
      </c>
    </row>
    <row r="33" spans="1:14" x14ac:dyDescent="0.2">
      <c r="A33" s="16" t="s">
        <v>4268</v>
      </c>
      <c r="B33" s="16" t="s">
        <v>527</v>
      </c>
      <c r="C33" s="59">
        <v>3.84</v>
      </c>
      <c r="D33" s="28">
        <v>5.5555555555555558E-3</v>
      </c>
      <c r="E33" s="60">
        <v>37.7851</v>
      </c>
      <c r="F33" s="60">
        <v>128.90414000000001</v>
      </c>
      <c r="G33" s="60">
        <v>37.780589999999997</v>
      </c>
      <c r="H33" s="60">
        <v>128.90282999999999</v>
      </c>
      <c r="I33" s="60">
        <v>37.77637</v>
      </c>
      <c r="J33" s="60">
        <v>128.90373</v>
      </c>
      <c r="K33" s="60">
        <v>37.774000000000001</v>
      </c>
      <c r="L33" s="60">
        <v>128.90639999999999</v>
      </c>
      <c r="M33" s="60">
        <v>37.770960000000002</v>
      </c>
      <c r="N33" s="60">
        <v>128.91006999999999</v>
      </c>
    </row>
    <row r="34" spans="1:14" x14ac:dyDescent="0.2">
      <c r="A34" s="16" t="s">
        <v>4268</v>
      </c>
      <c r="B34" s="16" t="s">
        <v>4267</v>
      </c>
      <c r="C34" s="55">
        <v>0.86099999999999999</v>
      </c>
      <c r="D34" s="29">
        <v>1.3888888888888889E-3</v>
      </c>
      <c r="E34" s="56">
        <v>37.790559999999999</v>
      </c>
      <c r="F34" s="56">
        <v>128.91059000000001</v>
      </c>
      <c r="G34" s="56">
        <v>37.790770000000002</v>
      </c>
      <c r="H34" s="56">
        <v>128.91135</v>
      </c>
      <c r="I34" s="56">
        <v>37.791040000000002</v>
      </c>
      <c r="J34" s="56">
        <v>128.91218000000001</v>
      </c>
      <c r="K34" s="56">
        <v>37.792279999999998</v>
      </c>
      <c r="L34" s="56">
        <v>128.91342</v>
      </c>
      <c r="M34" s="56">
        <v>37.792969999999997</v>
      </c>
      <c r="N34" s="56">
        <v>128.91404</v>
      </c>
    </row>
    <row r="35" spans="1:14" x14ac:dyDescent="0.2">
      <c r="A35" s="16" t="s">
        <v>4268</v>
      </c>
      <c r="B35" s="16" t="s">
        <v>4268</v>
      </c>
      <c r="C35" s="59">
        <v>0</v>
      </c>
      <c r="D35" s="28">
        <v>0</v>
      </c>
      <c r="E35" s="60">
        <f>'1.Locations'!D4</f>
        <v>37.789729888456399</v>
      </c>
      <c r="F35" s="60">
        <f>'1.Locations'!E4</f>
        <v>128.90960192524901</v>
      </c>
      <c r="G35" s="60">
        <f>'1.Locations'!D4</f>
        <v>37.789729888456399</v>
      </c>
      <c r="H35" s="60">
        <f>'1.Locations'!E4</f>
        <v>128.90960192524901</v>
      </c>
      <c r="I35" s="60">
        <f>'1.Locations'!D4</f>
        <v>37.789729888456399</v>
      </c>
      <c r="J35" s="60">
        <f>'1.Locations'!E4</f>
        <v>128.90960192524901</v>
      </c>
      <c r="K35" s="60">
        <f>'1.Locations'!D4</f>
        <v>37.789729888456399</v>
      </c>
      <c r="L35" s="60">
        <f>'1.Locations'!E4</f>
        <v>128.90960192524901</v>
      </c>
      <c r="M35" s="60">
        <f>'1.Locations'!D4</f>
        <v>37.789729888456399</v>
      </c>
      <c r="N35" s="60">
        <f>'1.Locations'!E4</f>
        <v>128.90960192524901</v>
      </c>
    </row>
    <row r="36" spans="1:14" x14ac:dyDescent="0.2">
      <c r="A36" s="16" t="s">
        <v>4268</v>
      </c>
      <c r="B36" s="16" t="s">
        <v>4269</v>
      </c>
      <c r="C36" s="55">
        <v>2.2810000000000001</v>
      </c>
      <c r="D36" s="29">
        <v>2.7777777777777779E-3</v>
      </c>
      <c r="E36" s="56">
        <v>37.786450000000002</v>
      </c>
      <c r="F36" s="56">
        <v>128.90648999999999</v>
      </c>
      <c r="G36" s="56">
        <v>37.783790000000003</v>
      </c>
      <c r="H36" s="56">
        <v>128.90325999999999</v>
      </c>
      <c r="I36" s="56">
        <v>37.7821</v>
      </c>
      <c r="J36" s="56">
        <v>128.89796999999999</v>
      </c>
      <c r="K36" s="56">
        <v>37.781140000000001</v>
      </c>
      <c r="L36" s="56">
        <v>128.89455000000001</v>
      </c>
      <c r="M36" s="56">
        <v>37.78051</v>
      </c>
      <c r="N36" s="56">
        <v>128.89502999999999</v>
      </c>
    </row>
    <row r="37" spans="1:14" x14ac:dyDescent="0.2">
      <c r="A37" s="16" t="s">
        <v>4268</v>
      </c>
      <c r="B37" s="16" t="s">
        <v>4270</v>
      </c>
      <c r="C37" s="59">
        <v>1.583</v>
      </c>
      <c r="D37" s="28">
        <v>2.0833333333333333E-3</v>
      </c>
      <c r="E37" s="60">
        <v>37.790770000000002</v>
      </c>
      <c r="F37" s="60">
        <v>128.91135</v>
      </c>
      <c r="G37" s="60">
        <v>37.792279999999998</v>
      </c>
      <c r="H37" s="60">
        <v>128.91342</v>
      </c>
      <c r="I37" s="60">
        <v>37.79372</v>
      </c>
      <c r="J37" s="60">
        <v>128.91473999999999</v>
      </c>
      <c r="K37" s="60">
        <v>37.796199999999999</v>
      </c>
      <c r="L37" s="60">
        <v>128.91247999999999</v>
      </c>
      <c r="M37" s="60">
        <v>37.797089999999997</v>
      </c>
      <c r="N37" s="60">
        <v>128.91204999999999</v>
      </c>
    </row>
    <row r="38" spans="1:14" x14ac:dyDescent="0.2">
      <c r="A38" s="16" t="s">
        <v>4268</v>
      </c>
      <c r="B38" s="16" t="s">
        <v>4271</v>
      </c>
      <c r="C38" s="55">
        <v>2.7429999999999999</v>
      </c>
      <c r="D38" s="29">
        <v>2.7777777777777779E-3</v>
      </c>
      <c r="E38" s="56">
        <v>37.791159999999998</v>
      </c>
      <c r="F38" s="56">
        <v>128.91238000000001</v>
      </c>
      <c r="G38" s="56">
        <v>37.795499999999997</v>
      </c>
      <c r="H38" s="56">
        <v>128.91356999999999</v>
      </c>
      <c r="I38" s="56">
        <v>37.797049999999999</v>
      </c>
      <c r="J38" s="56">
        <v>128.91206</v>
      </c>
      <c r="K38" s="56">
        <v>37.801319999999997</v>
      </c>
      <c r="L38" s="56">
        <v>128.91075000000001</v>
      </c>
      <c r="M38" s="56">
        <v>37.804600000000001</v>
      </c>
      <c r="N38" s="56">
        <v>128.90593999999999</v>
      </c>
    </row>
    <row r="39" spans="1:14" x14ac:dyDescent="0.2">
      <c r="A39" s="16" t="s">
        <v>4268</v>
      </c>
      <c r="B39" s="16" t="s">
        <v>4272</v>
      </c>
      <c r="C39" s="59">
        <v>3.4510000000000001</v>
      </c>
      <c r="D39" s="28">
        <v>2.7777777777777779E-3</v>
      </c>
      <c r="E39" s="60">
        <v>37.786149999999999</v>
      </c>
      <c r="F39" s="60">
        <v>128.90572</v>
      </c>
      <c r="G39" s="60">
        <v>37.783189999999998</v>
      </c>
      <c r="H39" s="60">
        <v>128.90215000000001</v>
      </c>
      <c r="I39" s="60">
        <v>37.781320000000001</v>
      </c>
      <c r="J39" s="60">
        <v>128.89545000000001</v>
      </c>
      <c r="K39" s="60">
        <v>37.781759999999998</v>
      </c>
      <c r="L39" s="60">
        <v>128.89347000000001</v>
      </c>
      <c r="M39" s="60">
        <v>37.785899999999998</v>
      </c>
      <c r="N39" s="60">
        <v>128.89349000000001</v>
      </c>
    </row>
    <row r="40" spans="1:14" x14ac:dyDescent="0.2">
      <c r="A40" s="16" t="s">
        <v>4268</v>
      </c>
      <c r="B40" s="16" t="s">
        <v>4273</v>
      </c>
      <c r="C40" s="55">
        <v>3.8170000000000002</v>
      </c>
      <c r="D40" s="29">
        <v>3.472222222222222E-3</v>
      </c>
      <c r="E40" s="56">
        <v>37.786050000000003</v>
      </c>
      <c r="F40" s="56">
        <v>128.90548999999999</v>
      </c>
      <c r="G40" s="56">
        <v>37.782649999999997</v>
      </c>
      <c r="H40" s="56">
        <v>128.90135000000001</v>
      </c>
      <c r="I40" s="56">
        <v>37.781149999999997</v>
      </c>
      <c r="J40" s="56">
        <v>128.8948</v>
      </c>
      <c r="K40" s="56">
        <v>37.783580000000001</v>
      </c>
      <c r="L40" s="56">
        <v>128.89229</v>
      </c>
      <c r="M40" s="56">
        <v>37.787010000000002</v>
      </c>
      <c r="N40" s="56">
        <v>128.89372</v>
      </c>
    </row>
    <row r="41" spans="1:14" x14ac:dyDescent="0.2">
      <c r="A41" s="16" t="s">
        <v>4268</v>
      </c>
      <c r="B41" s="16" t="s">
        <v>4274</v>
      </c>
      <c r="C41" s="59">
        <v>4.2939999999999996</v>
      </c>
      <c r="D41" s="28">
        <v>4.1666666666666666E-3</v>
      </c>
      <c r="E41" s="60">
        <v>37.784149999999997</v>
      </c>
      <c r="F41" s="60">
        <v>128.90361999999999</v>
      </c>
      <c r="G41" s="60">
        <v>37.781129999999997</v>
      </c>
      <c r="H41" s="60">
        <v>128.89483000000001</v>
      </c>
      <c r="I41" s="60">
        <v>37.783499999999997</v>
      </c>
      <c r="J41" s="60">
        <v>128.89043000000001</v>
      </c>
      <c r="K41" s="60">
        <v>37.778320000000001</v>
      </c>
      <c r="L41" s="60">
        <v>128.88574</v>
      </c>
      <c r="M41" s="60">
        <v>37.783969999999997</v>
      </c>
      <c r="N41" s="60">
        <v>128.88045</v>
      </c>
    </row>
    <row r="42" spans="1:14" x14ac:dyDescent="0.2">
      <c r="A42" s="16" t="s">
        <v>4268</v>
      </c>
      <c r="B42" s="16" t="s">
        <v>4275</v>
      </c>
      <c r="C42" s="55">
        <v>3.57</v>
      </c>
      <c r="D42" s="29">
        <v>3.472222222222222E-3</v>
      </c>
      <c r="E42" s="56">
        <v>37.785649999999997</v>
      </c>
      <c r="F42" s="56">
        <v>128.90468000000001</v>
      </c>
      <c r="G42" s="56">
        <v>37.782290000000003</v>
      </c>
      <c r="H42" s="56">
        <v>128.8997</v>
      </c>
      <c r="I42" s="56">
        <v>37.781109999999998</v>
      </c>
      <c r="J42" s="56">
        <v>128.89452</v>
      </c>
      <c r="K42" s="56">
        <v>37.783389999999997</v>
      </c>
      <c r="L42" s="56">
        <v>128.89024000000001</v>
      </c>
      <c r="M42" s="56">
        <v>37.779209999999999</v>
      </c>
      <c r="N42" s="56">
        <v>128.88657000000001</v>
      </c>
    </row>
    <row r="43" spans="1:14" x14ac:dyDescent="0.2">
      <c r="A43" s="16" t="s">
        <v>4268</v>
      </c>
      <c r="B43" s="16" t="s">
        <v>4276</v>
      </c>
      <c r="C43" s="59">
        <v>4.45</v>
      </c>
      <c r="D43" s="28">
        <v>4.8611111111111112E-3</v>
      </c>
      <c r="E43" s="60">
        <v>37.791379999999997</v>
      </c>
      <c r="F43" s="60">
        <v>128.91264000000001</v>
      </c>
      <c r="G43" s="60">
        <v>37.793999999999997</v>
      </c>
      <c r="H43" s="60">
        <v>128.91677000000001</v>
      </c>
      <c r="I43" s="60">
        <v>37.78689</v>
      </c>
      <c r="J43" s="60">
        <v>128.92341999999999</v>
      </c>
      <c r="K43" s="60">
        <v>37.783329999999999</v>
      </c>
      <c r="L43" s="60">
        <v>128.92966000000001</v>
      </c>
      <c r="M43" s="60">
        <v>37.778779999999998</v>
      </c>
      <c r="N43" s="60">
        <v>128.93532999999999</v>
      </c>
    </row>
    <row r="44" spans="1:14" x14ac:dyDescent="0.2">
      <c r="A44" s="16" t="s">
        <v>4268</v>
      </c>
      <c r="B44" s="16" t="s">
        <v>4277</v>
      </c>
      <c r="C44" s="55">
        <v>3.74</v>
      </c>
      <c r="D44" s="29">
        <v>4.1666666666666666E-3</v>
      </c>
      <c r="E44" s="56">
        <v>37.791040000000002</v>
      </c>
      <c r="F44" s="56">
        <v>128.91218000000001</v>
      </c>
      <c r="G44" s="56">
        <v>37.79372</v>
      </c>
      <c r="H44" s="56">
        <v>128.91473999999999</v>
      </c>
      <c r="I44" s="56">
        <v>37.790059999999997</v>
      </c>
      <c r="J44" s="56">
        <v>128.92071999999999</v>
      </c>
      <c r="K44" s="56">
        <v>37.786659999999998</v>
      </c>
      <c r="L44" s="56">
        <v>128.92352</v>
      </c>
      <c r="M44" s="56">
        <v>37.782649999999997</v>
      </c>
      <c r="N44" s="56">
        <v>128.93061</v>
      </c>
    </row>
    <row r="45" spans="1:14" x14ac:dyDescent="0.2">
      <c r="A45" s="16" t="s">
        <v>4268</v>
      </c>
      <c r="B45" s="16" t="s">
        <v>4278</v>
      </c>
      <c r="C45" s="59">
        <v>1.6279999999999999</v>
      </c>
      <c r="D45" s="28">
        <v>2.7777777777777779E-3</v>
      </c>
      <c r="E45" s="60">
        <v>37.790770000000002</v>
      </c>
      <c r="F45" s="60">
        <v>128.91135</v>
      </c>
      <c r="G45" s="60">
        <v>37.792279999999998</v>
      </c>
      <c r="H45" s="60">
        <v>128.91342</v>
      </c>
      <c r="I45" s="60">
        <v>37.79372</v>
      </c>
      <c r="J45" s="60">
        <v>128.91473999999999</v>
      </c>
      <c r="K45" s="60">
        <v>37.795200000000001</v>
      </c>
      <c r="L45" s="60">
        <v>128.91705999999999</v>
      </c>
      <c r="M45" s="60">
        <v>37.794620000000002</v>
      </c>
      <c r="N45" s="60">
        <v>128.91833</v>
      </c>
    </row>
    <row r="46" spans="1:14" x14ac:dyDescent="0.2">
      <c r="A46" s="16" t="s">
        <v>4268</v>
      </c>
      <c r="B46" s="16" t="s">
        <v>4279</v>
      </c>
      <c r="C46" s="55">
        <v>0.99399999999999999</v>
      </c>
      <c r="D46" s="29">
        <v>2.0833333333333333E-3</v>
      </c>
      <c r="E46" s="56">
        <v>37.789169999999999</v>
      </c>
      <c r="F46" s="56">
        <v>128.90917999999999</v>
      </c>
      <c r="G46" s="56">
        <v>37.788319999999999</v>
      </c>
      <c r="H46" s="56">
        <v>128.90862999999999</v>
      </c>
      <c r="I46" s="56">
        <v>37.786810000000003</v>
      </c>
      <c r="J46" s="56">
        <v>128.90725</v>
      </c>
      <c r="K46" s="56">
        <v>37.788130000000002</v>
      </c>
      <c r="L46" s="56">
        <v>128.90644</v>
      </c>
      <c r="M46" s="56">
        <v>37.789439999999999</v>
      </c>
      <c r="N46" s="56">
        <v>128.90602000000001</v>
      </c>
    </row>
    <row r="47" spans="1:14" x14ac:dyDescent="0.2">
      <c r="A47" s="16" t="s">
        <v>4268</v>
      </c>
      <c r="B47" s="16" t="s">
        <v>4280</v>
      </c>
      <c r="C47" s="59">
        <v>1.8240000000000001</v>
      </c>
      <c r="D47" s="28">
        <v>2.0833333333333333E-3</v>
      </c>
      <c r="E47" s="60">
        <v>37.790779999999998</v>
      </c>
      <c r="F47" s="60">
        <v>128.91144</v>
      </c>
      <c r="G47" s="60">
        <v>37.792459999999998</v>
      </c>
      <c r="H47" s="60">
        <v>128.91356999999999</v>
      </c>
      <c r="I47" s="60">
        <v>37.7956</v>
      </c>
      <c r="J47" s="60">
        <v>128.91336999999999</v>
      </c>
      <c r="K47" s="60">
        <v>37.796610000000001</v>
      </c>
      <c r="L47" s="60">
        <v>128.91220000000001</v>
      </c>
      <c r="M47" s="60">
        <v>37.79795</v>
      </c>
      <c r="N47" s="60">
        <v>128.91184000000001</v>
      </c>
    </row>
    <row r="48" spans="1:14" x14ac:dyDescent="0.2">
      <c r="A48" s="16" t="s">
        <v>4269</v>
      </c>
      <c r="B48" s="16" t="s">
        <v>527</v>
      </c>
      <c r="C48" s="55">
        <v>2.1309999999999998</v>
      </c>
      <c r="D48" s="29">
        <v>4.1666666666666666E-3</v>
      </c>
      <c r="E48" s="56">
        <v>37.775660000000002</v>
      </c>
      <c r="F48" s="56">
        <v>128.8973</v>
      </c>
      <c r="G48" s="56">
        <v>37.773510000000002</v>
      </c>
      <c r="H48" s="56">
        <v>128.89982000000001</v>
      </c>
      <c r="I48" s="56">
        <v>37.770789999999998</v>
      </c>
      <c r="J48" s="56">
        <v>128.90072000000001</v>
      </c>
      <c r="K48" s="56">
        <v>37.770339999999997</v>
      </c>
      <c r="L48" s="56">
        <v>128.90393</v>
      </c>
      <c r="M48" s="56">
        <v>37.767629999999997</v>
      </c>
      <c r="N48" s="56">
        <v>128.90379999999999</v>
      </c>
    </row>
    <row r="49" spans="1:14" x14ac:dyDescent="0.2">
      <c r="A49" s="16" t="s">
        <v>4269</v>
      </c>
      <c r="B49" s="16" t="s">
        <v>4267</v>
      </c>
      <c r="C49" s="59">
        <v>3.09</v>
      </c>
      <c r="D49" s="28">
        <v>3.472222222222222E-3</v>
      </c>
      <c r="E49" s="60">
        <v>37.779769999999999</v>
      </c>
      <c r="F49" s="60">
        <v>128.89542</v>
      </c>
      <c r="G49" s="60">
        <v>37.781509999999997</v>
      </c>
      <c r="H49" s="60">
        <v>128.89594</v>
      </c>
      <c r="I49" s="60">
        <v>37.783619999999999</v>
      </c>
      <c r="J49" s="60">
        <v>128.90289000000001</v>
      </c>
      <c r="K49" s="60">
        <v>37.786810000000003</v>
      </c>
      <c r="L49" s="60">
        <v>128.90725</v>
      </c>
      <c r="M49" s="60">
        <v>37.790770000000002</v>
      </c>
      <c r="N49" s="60">
        <v>128.91135</v>
      </c>
    </row>
    <row r="50" spans="1:14" x14ac:dyDescent="0.2">
      <c r="A50" s="16" t="s">
        <v>4269</v>
      </c>
      <c r="B50" s="16" t="s">
        <v>4268</v>
      </c>
      <c r="C50" s="55">
        <v>2.2290000000000001</v>
      </c>
      <c r="D50" s="29">
        <v>2.7777777777777779E-3</v>
      </c>
      <c r="E50" s="56">
        <v>37.778179999999999</v>
      </c>
      <c r="F50" s="56">
        <v>128.89609999999999</v>
      </c>
      <c r="G50" s="56">
        <v>37.780940000000001</v>
      </c>
      <c r="H50" s="56">
        <v>128.89483999999999</v>
      </c>
      <c r="I50" s="56">
        <v>37.78219</v>
      </c>
      <c r="J50" s="56">
        <v>128.89839000000001</v>
      </c>
      <c r="K50" s="56">
        <v>37.783790000000003</v>
      </c>
      <c r="L50" s="56">
        <v>128.90325999999999</v>
      </c>
      <c r="M50" s="56">
        <v>37.786270000000002</v>
      </c>
      <c r="N50" s="56">
        <v>128.90603999999999</v>
      </c>
    </row>
    <row r="51" spans="1:14" x14ac:dyDescent="0.2">
      <c r="A51" s="16" t="s">
        <v>4269</v>
      </c>
      <c r="B51" s="16" t="s">
        <v>4269</v>
      </c>
      <c r="C51" s="59">
        <v>0</v>
      </c>
      <c r="D51" s="28">
        <v>0</v>
      </c>
      <c r="E51" s="60">
        <f>'1.Locations'!D5</f>
        <v>37.777638889147802</v>
      </c>
      <c r="F51" s="60">
        <f>'1.Locations'!E5</f>
        <v>128.89830858447601</v>
      </c>
      <c r="G51" s="60">
        <f>'1.Locations'!D5</f>
        <v>37.777638889147802</v>
      </c>
      <c r="H51" s="60">
        <f>'1.Locations'!E5</f>
        <v>128.89830858447601</v>
      </c>
      <c r="I51" s="60">
        <f>'1.Locations'!D5</f>
        <v>37.777638889147802</v>
      </c>
      <c r="J51" s="60">
        <f>'1.Locations'!E5</f>
        <v>128.89830858447601</v>
      </c>
      <c r="K51" s="60">
        <f>'1.Locations'!D5</f>
        <v>37.777638889147802</v>
      </c>
      <c r="L51" s="60">
        <f>'1.Locations'!E5</f>
        <v>128.89830858447601</v>
      </c>
      <c r="M51" s="60">
        <f>'1.Locations'!D5</f>
        <v>37.777638889147802</v>
      </c>
      <c r="N51" s="60">
        <f>'1.Locations'!E5</f>
        <v>128.89830858447601</v>
      </c>
    </row>
    <row r="52" spans="1:14" x14ac:dyDescent="0.2">
      <c r="A52" s="16" t="s">
        <v>4269</v>
      </c>
      <c r="B52" s="16" t="s">
        <v>4270</v>
      </c>
      <c r="C52" s="55">
        <v>3.8119999999999998</v>
      </c>
      <c r="D52" s="29">
        <v>4.1666666666666666E-3</v>
      </c>
      <c r="E52" s="56">
        <v>37.780459999999998</v>
      </c>
      <c r="F52" s="56">
        <v>128.89506</v>
      </c>
      <c r="G52" s="56">
        <v>37.782269999999997</v>
      </c>
      <c r="H52" s="56">
        <v>128.89886999999999</v>
      </c>
      <c r="I52" s="56">
        <v>37.78539</v>
      </c>
      <c r="J52" s="56">
        <v>128.90436</v>
      </c>
      <c r="K52" s="56">
        <v>37.790469999999999</v>
      </c>
      <c r="L52" s="56">
        <v>128.91048000000001</v>
      </c>
      <c r="M52" s="56">
        <v>37.793480000000002</v>
      </c>
      <c r="N52" s="56">
        <v>128.91452000000001</v>
      </c>
    </row>
    <row r="53" spans="1:14" x14ac:dyDescent="0.2">
      <c r="A53" s="16" t="s">
        <v>4269</v>
      </c>
      <c r="B53" s="16" t="s">
        <v>4271</v>
      </c>
      <c r="C53" s="59">
        <v>3.1549999999999998</v>
      </c>
      <c r="D53" s="28">
        <v>3.472222222222222E-3</v>
      </c>
      <c r="E53" s="60">
        <v>37.778959999999998</v>
      </c>
      <c r="F53" s="60">
        <v>128.89580000000001</v>
      </c>
      <c r="G53" s="60">
        <v>37.78107</v>
      </c>
      <c r="H53" s="60">
        <v>128.89487</v>
      </c>
      <c r="I53" s="60">
        <v>37.781649999999999</v>
      </c>
      <c r="J53" s="60">
        <v>128.89358999999999</v>
      </c>
      <c r="K53" s="60">
        <v>37.785559999999997</v>
      </c>
      <c r="L53" s="60">
        <v>128.89347000000001</v>
      </c>
      <c r="M53" s="60">
        <v>37.793419999999998</v>
      </c>
      <c r="N53" s="60">
        <v>128.89653999999999</v>
      </c>
    </row>
    <row r="54" spans="1:14" x14ac:dyDescent="0.2">
      <c r="A54" s="16" t="s">
        <v>4269</v>
      </c>
      <c r="B54" s="16" t="s">
        <v>4272</v>
      </c>
      <c r="C54" s="55">
        <v>2.266</v>
      </c>
      <c r="D54" s="29">
        <v>2.7777777777777779E-3</v>
      </c>
      <c r="E54" s="56">
        <v>37.778179999999999</v>
      </c>
      <c r="F54" s="56">
        <v>128.89609999999999</v>
      </c>
      <c r="G54" s="56">
        <v>37.780940000000001</v>
      </c>
      <c r="H54" s="56">
        <v>128.89483999999999</v>
      </c>
      <c r="I54" s="56">
        <v>37.781109999999998</v>
      </c>
      <c r="J54" s="56">
        <v>128.89452</v>
      </c>
      <c r="K54" s="56">
        <v>37.78425</v>
      </c>
      <c r="L54" s="56">
        <v>128.89263</v>
      </c>
      <c r="M54" s="56">
        <v>37.786369999999998</v>
      </c>
      <c r="N54" s="56">
        <v>128.89353</v>
      </c>
    </row>
    <row r="55" spans="1:14" x14ac:dyDescent="0.2">
      <c r="A55" s="16" t="s">
        <v>4269</v>
      </c>
      <c r="B55" s="16" t="s">
        <v>4273</v>
      </c>
      <c r="C55" s="59">
        <v>2.6320000000000001</v>
      </c>
      <c r="D55" s="28">
        <v>2.7777777777777779E-3</v>
      </c>
      <c r="E55" s="60">
        <v>37.778599999999997</v>
      </c>
      <c r="F55" s="60">
        <v>128.89595</v>
      </c>
      <c r="G55" s="60">
        <v>37.780999999999999</v>
      </c>
      <c r="H55" s="60">
        <v>128.89487</v>
      </c>
      <c r="I55" s="60">
        <v>37.781419999999997</v>
      </c>
      <c r="J55" s="60">
        <v>128.89395999999999</v>
      </c>
      <c r="K55" s="60">
        <v>37.784889999999997</v>
      </c>
      <c r="L55" s="60">
        <v>128.89320000000001</v>
      </c>
      <c r="M55" s="60">
        <v>37.789830000000002</v>
      </c>
      <c r="N55" s="60">
        <v>128.89492000000001</v>
      </c>
    </row>
    <row r="56" spans="1:14" x14ac:dyDescent="0.2">
      <c r="A56" s="16" t="s">
        <v>4269</v>
      </c>
      <c r="B56" s="16" t="s">
        <v>4274</v>
      </c>
      <c r="C56" s="55">
        <v>2.8620000000000001</v>
      </c>
      <c r="D56" s="29">
        <v>3.472222222222222E-3</v>
      </c>
      <c r="E56" s="56">
        <v>37.774430000000002</v>
      </c>
      <c r="F56" s="56">
        <v>128.89642000000001</v>
      </c>
      <c r="G56" s="56">
        <v>37.77449</v>
      </c>
      <c r="H56" s="56">
        <v>128.89156</v>
      </c>
      <c r="I56" s="56">
        <v>37.77711</v>
      </c>
      <c r="J56" s="56">
        <v>128.88627</v>
      </c>
      <c r="K56" s="56">
        <v>37.780790000000003</v>
      </c>
      <c r="L56" s="56">
        <v>128.88179</v>
      </c>
      <c r="M56" s="56">
        <v>37.78425</v>
      </c>
      <c r="N56" s="56">
        <v>128.88083</v>
      </c>
    </row>
    <row r="57" spans="1:14" x14ac:dyDescent="0.2">
      <c r="A57" s="16" t="s">
        <v>4269</v>
      </c>
      <c r="B57" s="16" t="s">
        <v>4275</v>
      </c>
      <c r="C57" s="59">
        <v>2.1379999999999999</v>
      </c>
      <c r="D57" s="28">
        <v>2.7777777777777779E-3</v>
      </c>
      <c r="E57" s="60">
        <v>37.775660000000002</v>
      </c>
      <c r="F57" s="60">
        <v>128.8973</v>
      </c>
      <c r="G57" s="60">
        <v>37.773969999999998</v>
      </c>
      <c r="H57" s="60">
        <v>128.89454000000001</v>
      </c>
      <c r="I57" s="60">
        <v>37.77449</v>
      </c>
      <c r="J57" s="60">
        <v>128.89156</v>
      </c>
      <c r="K57" s="60">
        <v>37.775570000000002</v>
      </c>
      <c r="L57" s="60">
        <v>128.88784000000001</v>
      </c>
      <c r="M57" s="60">
        <v>37.777999999999999</v>
      </c>
      <c r="N57" s="60">
        <v>128.88524000000001</v>
      </c>
    </row>
    <row r="58" spans="1:14" x14ac:dyDescent="0.2">
      <c r="A58" s="16" t="s">
        <v>4269</v>
      </c>
      <c r="B58" s="16" t="s">
        <v>4276</v>
      </c>
      <c r="C58" s="55">
        <v>6.6790000000000003</v>
      </c>
      <c r="D58" s="29">
        <v>7.6388888888888886E-3</v>
      </c>
      <c r="E58" s="56">
        <v>37.780940000000001</v>
      </c>
      <c r="F58" s="56">
        <v>128.89483999999999</v>
      </c>
      <c r="G58" s="56">
        <v>37.783790000000003</v>
      </c>
      <c r="H58" s="56">
        <v>128.90325999999999</v>
      </c>
      <c r="I58" s="56">
        <v>37.789650000000002</v>
      </c>
      <c r="J58" s="56">
        <v>128.90960999999999</v>
      </c>
      <c r="K58" s="56">
        <v>37.794110000000003</v>
      </c>
      <c r="L58" s="56">
        <v>128.91654</v>
      </c>
      <c r="M58" s="56">
        <v>37.786340000000003</v>
      </c>
      <c r="N58" s="56">
        <v>128.92415</v>
      </c>
    </row>
    <row r="59" spans="1:14" x14ac:dyDescent="0.2">
      <c r="A59" s="16" t="s">
        <v>4269</v>
      </c>
      <c r="B59" s="16" t="s">
        <v>4277</v>
      </c>
      <c r="C59" s="59">
        <v>5.9690000000000003</v>
      </c>
      <c r="D59" s="28">
        <v>6.9444444444444441E-3</v>
      </c>
      <c r="E59" s="60">
        <v>37.780920000000002</v>
      </c>
      <c r="F59" s="60">
        <v>128.89481000000001</v>
      </c>
      <c r="G59" s="60">
        <v>37.783569999999997</v>
      </c>
      <c r="H59" s="60">
        <v>128.90278000000001</v>
      </c>
      <c r="I59" s="60">
        <v>37.788969999999999</v>
      </c>
      <c r="J59" s="60">
        <v>128.90906000000001</v>
      </c>
      <c r="K59" s="60">
        <v>37.793480000000002</v>
      </c>
      <c r="L59" s="60">
        <v>128.91452000000001</v>
      </c>
      <c r="M59" s="60">
        <v>37.786659999999998</v>
      </c>
      <c r="N59" s="60">
        <v>128.92352</v>
      </c>
    </row>
    <row r="60" spans="1:14" x14ac:dyDescent="0.2">
      <c r="A60" s="16" t="s">
        <v>4269</v>
      </c>
      <c r="B60" s="16" t="s">
        <v>4278</v>
      </c>
      <c r="C60" s="55">
        <v>3.8570000000000002</v>
      </c>
      <c r="D60" s="29">
        <v>4.8611111111111112E-3</v>
      </c>
      <c r="E60" s="56">
        <v>37.78051</v>
      </c>
      <c r="F60" s="56">
        <v>128.89502999999999</v>
      </c>
      <c r="G60" s="56">
        <v>37.782290000000003</v>
      </c>
      <c r="H60" s="56">
        <v>128.8997</v>
      </c>
      <c r="I60" s="56">
        <v>37.786050000000003</v>
      </c>
      <c r="J60" s="56">
        <v>128.90548999999999</v>
      </c>
      <c r="K60" s="56">
        <v>37.790770000000002</v>
      </c>
      <c r="L60" s="56">
        <v>128.91108</v>
      </c>
      <c r="M60" s="56">
        <v>37.795540000000003</v>
      </c>
      <c r="N60" s="56">
        <v>128.91676000000001</v>
      </c>
    </row>
    <row r="61" spans="1:14" x14ac:dyDescent="0.2">
      <c r="A61" s="16" t="s">
        <v>4269</v>
      </c>
      <c r="B61" s="16" t="s">
        <v>4279</v>
      </c>
      <c r="C61" s="59">
        <v>2.4649999999999999</v>
      </c>
      <c r="D61" s="28">
        <v>5.5555555555555558E-3</v>
      </c>
      <c r="E61" s="60">
        <v>37.778179999999999</v>
      </c>
      <c r="F61" s="60">
        <v>128.89609999999999</v>
      </c>
      <c r="G61" s="60">
        <v>37.780940000000001</v>
      </c>
      <c r="H61" s="60">
        <v>128.89483999999999</v>
      </c>
      <c r="I61" s="60">
        <v>37.78219</v>
      </c>
      <c r="J61" s="60">
        <v>128.89839000000001</v>
      </c>
      <c r="K61" s="60">
        <v>37.783790000000003</v>
      </c>
      <c r="L61" s="60">
        <v>128.90325999999999</v>
      </c>
      <c r="M61" s="60">
        <v>37.786270000000002</v>
      </c>
      <c r="N61" s="60">
        <v>128.90603999999999</v>
      </c>
    </row>
    <row r="62" spans="1:14" x14ac:dyDescent="0.2">
      <c r="A62" s="16" t="s">
        <v>4269</v>
      </c>
      <c r="B62" s="16" t="s">
        <v>4280</v>
      </c>
      <c r="C62" s="55">
        <v>4.0060000000000002</v>
      </c>
      <c r="D62" s="29">
        <v>4.1666666666666666E-3</v>
      </c>
      <c r="E62" s="56">
        <v>37.780050000000003</v>
      </c>
      <c r="F62" s="56">
        <v>128.89528000000001</v>
      </c>
      <c r="G62" s="56">
        <v>37.781140000000001</v>
      </c>
      <c r="H62" s="56">
        <v>128.89455000000001</v>
      </c>
      <c r="I62" s="56">
        <v>37.785060000000001</v>
      </c>
      <c r="J62" s="56">
        <v>128.89330000000001</v>
      </c>
      <c r="K62" s="56">
        <v>37.793599999999998</v>
      </c>
      <c r="L62" s="56">
        <v>128.89658</v>
      </c>
      <c r="M62" s="56">
        <v>37.801549999999999</v>
      </c>
      <c r="N62" s="56">
        <v>128.90346</v>
      </c>
    </row>
    <row r="63" spans="1:14" x14ac:dyDescent="0.2">
      <c r="A63" s="16" t="s">
        <v>4270</v>
      </c>
      <c r="B63" s="16" t="s">
        <v>527</v>
      </c>
      <c r="C63" s="59">
        <v>5.2240000000000002</v>
      </c>
      <c r="D63" s="28">
        <v>5.5555555555555558E-3</v>
      </c>
      <c r="E63" s="60">
        <v>37.795999999999999</v>
      </c>
      <c r="F63" s="60">
        <v>128.91269</v>
      </c>
      <c r="G63" s="60">
        <v>37.787779999999998</v>
      </c>
      <c r="H63" s="60">
        <v>128.92275000000001</v>
      </c>
      <c r="I63" s="60">
        <v>37.784019999999998</v>
      </c>
      <c r="J63" s="60">
        <v>128.92049</v>
      </c>
      <c r="K63" s="60">
        <v>37.775069999999999</v>
      </c>
      <c r="L63" s="60">
        <v>128.91435000000001</v>
      </c>
      <c r="M63" s="60">
        <v>37.771000000000001</v>
      </c>
      <c r="N63" s="60">
        <v>128.9101</v>
      </c>
    </row>
    <row r="64" spans="1:14" x14ac:dyDescent="0.2">
      <c r="A64" s="16" t="s">
        <v>4270</v>
      </c>
      <c r="B64" s="16" t="s">
        <v>4267</v>
      </c>
      <c r="C64" s="55">
        <v>0.89600000000000002</v>
      </c>
      <c r="D64" s="29">
        <v>1.3888888888888889E-3</v>
      </c>
      <c r="E64" s="56">
        <v>37.798479999999998</v>
      </c>
      <c r="F64" s="56">
        <v>128.91172</v>
      </c>
      <c r="G64" s="56">
        <v>37.797499999999999</v>
      </c>
      <c r="H64" s="56">
        <v>128.91194999999999</v>
      </c>
      <c r="I64" s="56">
        <v>37.79692</v>
      </c>
      <c r="J64" s="56">
        <v>128.91209000000001</v>
      </c>
      <c r="K64" s="56">
        <v>37.79645</v>
      </c>
      <c r="L64" s="56">
        <v>128.91228000000001</v>
      </c>
      <c r="M64" s="56">
        <v>37.79589</v>
      </c>
      <c r="N64" s="56">
        <v>128.91283000000001</v>
      </c>
    </row>
    <row r="65" spans="1:14" x14ac:dyDescent="0.2">
      <c r="A65" s="16" t="s">
        <v>4270</v>
      </c>
      <c r="B65" s="16" t="s">
        <v>4268</v>
      </c>
      <c r="C65" s="59">
        <v>1.486</v>
      </c>
      <c r="D65" s="28">
        <v>1.3888888888888889E-3</v>
      </c>
      <c r="E65" s="60">
        <v>37.797499999999999</v>
      </c>
      <c r="F65" s="60">
        <v>128.91194999999999</v>
      </c>
      <c r="G65" s="60">
        <v>37.79645</v>
      </c>
      <c r="H65" s="60">
        <v>128.91228000000001</v>
      </c>
      <c r="I65" s="60">
        <v>37.795610000000003</v>
      </c>
      <c r="J65" s="60">
        <v>128.91317000000001</v>
      </c>
      <c r="K65" s="60">
        <v>37.793129999999998</v>
      </c>
      <c r="L65" s="60">
        <v>128.91418999999999</v>
      </c>
      <c r="M65" s="60">
        <v>37.791379999999997</v>
      </c>
      <c r="N65" s="60">
        <v>128.91264000000001</v>
      </c>
    </row>
    <row r="66" spans="1:14" x14ac:dyDescent="0.2">
      <c r="A66" s="16" t="s">
        <v>4270</v>
      </c>
      <c r="B66" s="16" t="s">
        <v>4269</v>
      </c>
      <c r="C66" s="55">
        <v>3.7669999999999999</v>
      </c>
      <c r="D66" s="29">
        <v>4.1666666666666666E-3</v>
      </c>
      <c r="E66" s="56">
        <v>37.795650000000002</v>
      </c>
      <c r="F66" s="56">
        <v>128.91313</v>
      </c>
      <c r="G66" s="56">
        <v>37.790770000000002</v>
      </c>
      <c r="H66" s="56">
        <v>128.91135</v>
      </c>
      <c r="I66" s="56">
        <v>37.785769999999999</v>
      </c>
      <c r="J66" s="56">
        <v>128.90492</v>
      </c>
      <c r="K66" s="56">
        <v>37.78219</v>
      </c>
      <c r="L66" s="56">
        <v>128.89839000000001</v>
      </c>
      <c r="M66" s="56">
        <v>37.780889999999999</v>
      </c>
      <c r="N66" s="56">
        <v>128.89466999999999</v>
      </c>
    </row>
    <row r="67" spans="1:14" x14ac:dyDescent="0.2">
      <c r="A67" s="16" t="s">
        <v>4270</v>
      </c>
      <c r="B67" s="16" t="s">
        <v>4270</v>
      </c>
      <c r="C67" s="59">
        <v>0</v>
      </c>
      <c r="D67" s="28">
        <v>0</v>
      </c>
      <c r="E67" s="60">
        <f>'1.Locations'!D6</f>
        <v>37.800448038716702</v>
      </c>
      <c r="F67" s="60">
        <f>'1.Locations'!E6</f>
        <v>128.91126708569601</v>
      </c>
      <c r="G67" s="60">
        <f>'1.Locations'!D6</f>
        <v>37.800448038716702</v>
      </c>
      <c r="H67" s="60">
        <f>'1.Locations'!E6</f>
        <v>128.91126708569601</v>
      </c>
      <c r="I67" s="60">
        <f>'1.Locations'!D6</f>
        <v>37.800448038716702</v>
      </c>
      <c r="J67" s="60">
        <f>'1.Locations'!E6</f>
        <v>128.91126708569601</v>
      </c>
      <c r="K67" s="60">
        <f>'1.Locations'!D6</f>
        <v>37.800448038716702</v>
      </c>
      <c r="L67" s="60">
        <f>'1.Locations'!E6</f>
        <v>128.91126708569601</v>
      </c>
      <c r="M67" s="60">
        <f>'1.Locations'!D6</f>
        <v>37.800448038716702</v>
      </c>
      <c r="N67" s="60">
        <f>'1.Locations'!E6</f>
        <v>128.91126708569601</v>
      </c>
    </row>
    <row r="68" spans="1:14" x14ac:dyDescent="0.2">
      <c r="A68" s="16" t="s">
        <v>4270</v>
      </c>
      <c r="B68" s="16" t="s">
        <v>4271</v>
      </c>
      <c r="C68" s="55">
        <v>1.1599999999999999</v>
      </c>
      <c r="D68" s="29">
        <v>1.3888888888888889E-3</v>
      </c>
      <c r="E68" s="56">
        <v>37.801319999999997</v>
      </c>
      <c r="F68" s="56">
        <v>128.91075000000001</v>
      </c>
      <c r="G68" s="56">
        <v>37.803629999999998</v>
      </c>
      <c r="H68" s="56">
        <v>128.90805</v>
      </c>
      <c r="I68" s="56">
        <v>37.804369999999999</v>
      </c>
      <c r="J68" s="56">
        <v>128.90654000000001</v>
      </c>
      <c r="K68" s="56">
        <v>37.804569999999998</v>
      </c>
      <c r="L68" s="56">
        <v>128.90543</v>
      </c>
      <c r="M68" s="56">
        <v>37.802489999999999</v>
      </c>
      <c r="N68" s="56">
        <v>128.90429</v>
      </c>
    </row>
    <row r="69" spans="1:14" x14ac:dyDescent="0.2">
      <c r="A69" s="16" t="s">
        <v>4270</v>
      </c>
      <c r="B69" s="16" t="s">
        <v>4272</v>
      </c>
      <c r="C69" s="59">
        <v>2.0489999999999999</v>
      </c>
      <c r="D69" s="28">
        <v>2.0833333333333333E-3</v>
      </c>
      <c r="E69" s="60">
        <v>37.802070000000001</v>
      </c>
      <c r="F69" s="60">
        <v>128.91004000000001</v>
      </c>
      <c r="G69" s="60">
        <v>37.804340000000003</v>
      </c>
      <c r="H69" s="60">
        <v>128.9066</v>
      </c>
      <c r="I69" s="60">
        <v>37.804319999999997</v>
      </c>
      <c r="J69" s="60">
        <v>128.90527</v>
      </c>
      <c r="K69" s="60">
        <v>37.801600000000001</v>
      </c>
      <c r="L69" s="60">
        <v>128.90351000000001</v>
      </c>
      <c r="M69" s="60">
        <v>37.799680000000002</v>
      </c>
      <c r="N69" s="60">
        <v>128.90065999999999</v>
      </c>
    </row>
    <row r="70" spans="1:14" x14ac:dyDescent="0.2">
      <c r="A70" s="16" t="s">
        <v>4270</v>
      </c>
      <c r="B70" s="16" t="s">
        <v>4273</v>
      </c>
      <c r="C70" s="55">
        <v>1.6830000000000001</v>
      </c>
      <c r="D70" s="29">
        <v>2.0833333333333333E-3</v>
      </c>
      <c r="E70" s="56">
        <v>37.801679999999998</v>
      </c>
      <c r="F70" s="56">
        <v>128.91045</v>
      </c>
      <c r="G70" s="56">
        <v>37.804110000000001</v>
      </c>
      <c r="H70" s="56">
        <v>128.90710000000001</v>
      </c>
      <c r="I70" s="56">
        <v>37.804600000000001</v>
      </c>
      <c r="J70" s="56">
        <v>128.90593999999999</v>
      </c>
      <c r="K70" s="56">
        <v>37.803570000000001</v>
      </c>
      <c r="L70" s="56">
        <v>128.90483</v>
      </c>
      <c r="M70" s="56">
        <v>37.801319999999997</v>
      </c>
      <c r="N70" s="56">
        <v>128.90323000000001</v>
      </c>
    </row>
    <row r="71" spans="1:14" x14ac:dyDescent="0.2">
      <c r="A71" s="16" t="s">
        <v>4270</v>
      </c>
      <c r="B71" s="16" t="s">
        <v>4274</v>
      </c>
      <c r="C71" s="59">
        <v>3.9569999999999999</v>
      </c>
      <c r="D71" s="28">
        <v>4.1666666666666666E-3</v>
      </c>
      <c r="E71" s="60">
        <v>37.804369999999999</v>
      </c>
      <c r="F71" s="60">
        <v>128.90654000000001</v>
      </c>
      <c r="G71" s="60">
        <v>37.801319999999997</v>
      </c>
      <c r="H71" s="60">
        <v>128.90323000000001</v>
      </c>
      <c r="I71" s="60">
        <v>37.79533</v>
      </c>
      <c r="J71" s="60">
        <v>128.89708999999999</v>
      </c>
      <c r="K71" s="60">
        <v>37.786520000000003</v>
      </c>
      <c r="L71" s="60">
        <v>128.89292</v>
      </c>
      <c r="M71" s="60">
        <v>37.785440000000001</v>
      </c>
      <c r="N71" s="60">
        <v>128.89059</v>
      </c>
    </row>
    <row r="72" spans="1:14" x14ac:dyDescent="0.2">
      <c r="A72" s="16" t="s">
        <v>4270</v>
      </c>
      <c r="B72" s="16" t="s">
        <v>4275</v>
      </c>
      <c r="C72" s="55">
        <v>4.8099999999999996</v>
      </c>
      <c r="D72" s="29">
        <v>4.8611111111111112E-3</v>
      </c>
      <c r="E72" s="56">
        <v>37.804569999999998</v>
      </c>
      <c r="F72" s="56">
        <v>128.90543</v>
      </c>
      <c r="G72" s="56">
        <v>37.797809999999998</v>
      </c>
      <c r="H72" s="56">
        <v>128.89821000000001</v>
      </c>
      <c r="I72" s="56">
        <v>37.78633</v>
      </c>
      <c r="J72" s="56">
        <v>128.89352</v>
      </c>
      <c r="K72" s="56">
        <v>37.783389999999997</v>
      </c>
      <c r="L72" s="56">
        <v>128.89024000000001</v>
      </c>
      <c r="M72" s="56">
        <v>37.778739999999999</v>
      </c>
      <c r="N72" s="56">
        <v>128.88623000000001</v>
      </c>
    </row>
    <row r="73" spans="1:14" x14ac:dyDescent="0.2">
      <c r="A73" s="16" t="s">
        <v>4270</v>
      </c>
      <c r="B73" s="16" t="s">
        <v>4276</v>
      </c>
      <c r="C73" s="59">
        <v>4.4850000000000003</v>
      </c>
      <c r="D73" s="28">
        <v>4.8611111111111112E-3</v>
      </c>
      <c r="E73" s="60">
        <v>37.796610000000001</v>
      </c>
      <c r="F73" s="60">
        <v>128.91220000000001</v>
      </c>
      <c r="G73" s="60">
        <v>37.793999999999997</v>
      </c>
      <c r="H73" s="60">
        <v>128.91677000000001</v>
      </c>
      <c r="I73" s="60">
        <v>37.78689</v>
      </c>
      <c r="J73" s="60">
        <v>128.92341999999999</v>
      </c>
      <c r="K73" s="60">
        <v>37.783329999999999</v>
      </c>
      <c r="L73" s="60">
        <v>128.92966000000001</v>
      </c>
      <c r="M73" s="60">
        <v>37.778779999999998</v>
      </c>
      <c r="N73" s="60">
        <v>128.93532999999999</v>
      </c>
    </row>
    <row r="74" spans="1:14" x14ac:dyDescent="0.2">
      <c r="A74" s="16" t="s">
        <v>4270</v>
      </c>
      <c r="B74" s="16" t="s">
        <v>4277</v>
      </c>
      <c r="C74" s="55">
        <v>3.7749999999999999</v>
      </c>
      <c r="D74" s="29">
        <v>4.1666666666666666E-3</v>
      </c>
      <c r="E74" s="56">
        <v>37.79692</v>
      </c>
      <c r="F74" s="56">
        <v>128.91209000000001</v>
      </c>
      <c r="G74" s="56">
        <v>37.795499999999997</v>
      </c>
      <c r="H74" s="56">
        <v>128.91356999999999</v>
      </c>
      <c r="I74" s="56">
        <v>37.790059999999997</v>
      </c>
      <c r="J74" s="56">
        <v>128.92071999999999</v>
      </c>
      <c r="K74" s="56">
        <v>37.786659999999998</v>
      </c>
      <c r="L74" s="56">
        <v>128.92352</v>
      </c>
      <c r="M74" s="56">
        <v>37.782649999999997</v>
      </c>
      <c r="N74" s="56">
        <v>128.93061</v>
      </c>
    </row>
    <row r="75" spans="1:14" x14ac:dyDescent="0.2">
      <c r="A75" s="16" t="s">
        <v>4270</v>
      </c>
      <c r="B75" s="16" t="s">
        <v>4278</v>
      </c>
      <c r="C75" s="59">
        <v>1.5860000000000001</v>
      </c>
      <c r="D75" s="28">
        <v>2.0833333333333333E-3</v>
      </c>
      <c r="E75" s="60">
        <v>37.797910000000002</v>
      </c>
      <c r="F75" s="60">
        <v>128.91184999999999</v>
      </c>
      <c r="G75" s="60">
        <v>37.79692</v>
      </c>
      <c r="H75" s="60">
        <v>128.91209000000001</v>
      </c>
      <c r="I75" s="60">
        <v>37.796199999999999</v>
      </c>
      <c r="J75" s="60">
        <v>128.91247999999999</v>
      </c>
      <c r="K75" s="60">
        <v>37.795499999999997</v>
      </c>
      <c r="L75" s="60">
        <v>128.91356999999999</v>
      </c>
      <c r="M75" s="60">
        <v>37.793660000000003</v>
      </c>
      <c r="N75" s="60">
        <v>128.91740999999999</v>
      </c>
    </row>
    <row r="76" spans="1:14" x14ac:dyDescent="0.2">
      <c r="A76" s="16" t="s">
        <v>4270</v>
      </c>
      <c r="B76" s="16" t="s">
        <v>4279</v>
      </c>
      <c r="C76" s="55">
        <v>2.48</v>
      </c>
      <c r="D76" s="29">
        <v>3.472222222222222E-3</v>
      </c>
      <c r="E76" s="56">
        <v>37.79692</v>
      </c>
      <c r="F76" s="56">
        <v>128.91209000000001</v>
      </c>
      <c r="G76" s="56">
        <v>37.795610000000003</v>
      </c>
      <c r="H76" s="56">
        <v>128.91317000000001</v>
      </c>
      <c r="I76" s="56">
        <v>37.792459999999998</v>
      </c>
      <c r="J76" s="56">
        <v>128.91356999999999</v>
      </c>
      <c r="K76" s="56">
        <v>37.790730000000003</v>
      </c>
      <c r="L76" s="56">
        <v>128.91092</v>
      </c>
      <c r="M76" s="56">
        <v>37.787959999999998</v>
      </c>
      <c r="N76" s="56">
        <v>128.9083</v>
      </c>
    </row>
    <row r="77" spans="1:14" x14ac:dyDescent="0.2">
      <c r="A77" s="16" t="s">
        <v>4270</v>
      </c>
      <c r="B77" s="16" t="s">
        <v>4280</v>
      </c>
      <c r="C77" s="59">
        <v>0.24099999999999999</v>
      </c>
      <c r="D77" s="28">
        <v>0</v>
      </c>
      <c r="E77" s="60">
        <v>37.800440000000002</v>
      </c>
      <c r="F77" s="60">
        <v>128.91122999999999</v>
      </c>
      <c r="G77" s="60">
        <v>37.800490000000003</v>
      </c>
      <c r="H77" s="60">
        <v>128.91121999999999</v>
      </c>
      <c r="I77" s="60">
        <v>37.800719999999998</v>
      </c>
      <c r="J77" s="60">
        <v>128.91112000000001</v>
      </c>
      <c r="K77" s="60">
        <v>37.800930000000001</v>
      </c>
      <c r="L77" s="60">
        <v>128.911</v>
      </c>
      <c r="M77" s="60">
        <v>37.801319999999997</v>
      </c>
      <c r="N77" s="60">
        <v>128.91075000000001</v>
      </c>
    </row>
    <row r="78" spans="1:14" x14ac:dyDescent="0.2">
      <c r="A78" s="16" t="s">
        <v>4271</v>
      </c>
      <c r="B78" s="16" t="s">
        <v>527</v>
      </c>
      <c r="C78" s="55">
        <v>5.2430000000000003</v>
      </c>
      <c r="D78" s="29">
        <v>6.2499999999999995E-3</v>
      </c>
      <c r="E78" s="56">
        <v>37.788890000000002</v>
      </c>
      <c r="F78" s="56">
        <v>128.89449999999999</v>
      </c>
      <c r="G78" s="56">
        <v>37.781759999999998</v>
      </c>
      <c r="H78" s="56">
        <v>128.89347000000001</v>
      </c>
      <c r="I78" s="56">
        <v>37.779209999999999</v>
      </c>
      <c r="J78" s="56">
        <v>128.89570000000001</v>
      </c>
      <c r="K78" s="56">
        <v>37.774299999999997</v>
      </c>
      <c r="L78" s="56">
        <v>128.89891</v>
      </c>
      <c r="M78" s="56">
        <v>37.770299999999999</v>
      </c>
      <c r="N78" s="56">
        <v>128.90280999999999</v>
      </c>
    </row>
    <row r="79" spans="1:14" x14ac:dyDescent="0.2">
      <c r="A79" s="16" t="s">
        <v>4271</v>
      </c>
      <c r="B79" s="16" t="s">
        <v>4267</v>
      </c>
      <c r="C79" s="59">
        <v>1.988</v>
      </c>
      <c r="D79" s="28">
        <v>2.0833333333333333E-3</v>
      </c>
      <c r="E79" s="60">
        <v>37.802810000000001</v>
      </c>
      <c r="F79" s="60">
        <v>128.90466000000001</v>
      </c>
      <c r="G79" s="60">
        <v>37.804310000000001</v>
      </c>
      <c r="H79" s="60">
        <v>128.90634</v>
      </c>
      <c r="I79" s="60">
        <v>37.802070000000001</v>
      </c>
      <c r="J79" s="60">
        <v>128.91004000000001</v>
      </c>
      <c r="K79" s="60">
        <v>37.79795</v>
      </c>
      <c r="L79" s="60">
        <v>128.91184000000001</v>
      </c>
      <c r="M79" s="60">
        <v>37.796610000000001</v>
      </c>
      <c r="N79" s="60">
        <v>128.91220000000001</v>
      </c>
    </row>
    <row r="80" spans="1:14" x14ac:dyDescent="0.2">
      <c r="A80" s="16" t="s">
        <v>4271</v>
      </c>
      <c r="B80" s="16" t="s">
        <v>4268</v>
      </c>
      <c r="C80" s="55">
        <v>2.5779999999999998</v>
      </c>
      <c r="D80" s="29">
        <v>2.7777777777777779E-3</v>
      </c>
      <c r="E80" s="56">
        <v>37.803890000000003</v>
      </c>
      <c r="F80" s="56">
        <v>128.90532999999999</v>
      </c>
      <c r="G80" s="56">
        <v>37.802990000000001</v>
      </c>
      <c r="H80" s="56">
        <v>128.90897000000001</v>
      </c>
      <c r="I80" s="56">
        <v>37.797499999999999</v>
      </c>
      <c r="J80" s="56">
        <v>128.91194999999999</v>
      </c>
      <c r="K80" s="56">
        <v>37.795810000000003</v>
      </c>
      <c r="L80" s="56">
        <v>128.91297</v>
      </c>
      <c r="M80" s="56">
        <v>37.792969999999997</v>
      </c>
      <c r="N80" s="56">
        <v>128.91404</v>
      </c>
    </row>
    <row r="81" spans="1:14" x14ac:dyDescent="0.2">
      <c r="A81" s="16" t="s">
        <v>4271</v>
      </c>
      <c r="B81" s="16" t="s">
        <v>4269</v>
      </c>
      <c r="C81" s="59">
        <v>3.169</v>
      </c>
      <c r="D81" s="28">
        <v>3.472222222222222E-3</v>
      </c>
      <c r="E81" s="60">
        <v>37.796720000000001</v>
      </c>
      <c r="F81" s="60">
        <v>128.89751999999999</v>
      </c>
      <c r="G81" s="60">
        <v>37.78669</v>
      </c>
      <c r="H81" s="60">
        <v>128.89361</v>
      </c>
      <c r="I81" s="60">
        <v>37.784269999999999</v>
      </c>
      <c r="J81" s="60">
        <v>128.89248000000001</v>
      </c>
      <c r="K81" s="60">
        <v>37.781210000000002</v>
      </c>
      <c r="L81" s="60">
        <v>128.89434</v>
      </c>
      <c r="M81" s="60">
        <v>37.78051</v>
      </c>
      <c r="N81" s="60">
        <v>128.89502999999999</v>
      </c>
    </row>
    <row r="82" spans="1:14" x14ac:dyDescent="0.2">
      <c r="A82" s="16" t="s">
        <v>4271</v>
      </c>
      <c r="B82" s="16" t="s">
        <v>4270</v>
      </c>
      <c r="C82" s="55">
        <v>1.0920000000000001</v>
      </c>
      <c r="D82" s="29">
        <v>1.3888888888888889E-3</v>
      </c>
      <c r="E82" s="56">
        <v>37.801600000000001</v>
      </c>
      <c r="F82" s="56">
        <v>128.90351000000001</v>
      </c>
      <c r="G82" s="56">
        <v>37.803240000000002</v>
      </c>
      <c r="H82" s="56">
        <v>128.90493000000001</v>
      </c>
      <c r="I82" s="56">
        <v>37.803980000000003</v>
      </c>
      <c r="J82" s="56">
        <v>128.90545</v>
      </c>
      <c r="K82" s="56">
        <v>37.804340000000003</v>
      </c>
      <c r="L82" s="56">
        <v>128.9066</v>
      </c>
      <c r="M82" s="56">
        <v>37.803319999999999</v>
      </c>
      <c r="N82" s="56">
        <v>128.90853999999999</v>
      </c>
    </row>
    <row r="83" spans="1:14" x14ac:dyDescent="0.2">
      <c r="A83" s="16" t="s">
        <v>4271</v>
      </c>
      <c r="B83" s="16" t="s">
        <v>4271</v>
      </c>
      <c r="C83" s="59">
        <v>0</v>
      </c>
      <c r="D83" s="28">
        <v>0</v>
      </c>
      <c r="E83" s="60">
        <f>'1.Locations'!D7</f>
        <v>37.801236165643203</v>
      </c>
      <c r="F83" s="60">
        <f>'1.Locations'!E7</f>
        <v>128.903057385952</v>
      </c>
      <c r="G83" s="60">
        <f>'1.Locations'!D7</f>
        <v>37.801236165643203</v>
      </c>
      <c r="H83" s="60">
        <f>'1.Locations'!E7</f>
        <v>128.903057385952</v>
      </c>
      <c r="I83" s="60">
        <f>'1.Locations'!D7</f>
        <v>37.801236165643203</v>
      </c>
      <c r="J83" s="60">
        <f>'1.Locations'!E7</f>
        <v>128.903057385952</v>
      </c>
      <c r="K83" s="60">
        <f>'1.Locations'!D7</f>
        <v>37.801236165643203</v>
      </c>
      <c r="L83" s="60">
        <f>'1.Locations'!E7</f>
        <v>128.903057385952</v>
      </c>
      <c r="M83" s="60">
        <f>'1.Locations'!D7</f>
        <v>37.801236165643203</v>
      </c>
      <c r="N83" s="60">
        <f>'1.Locations'!E7</f>
        <v>128.903057385952</v>
      </c>
    </row>
    <row r="84" spans="1:14" x14ac:dyDescent="0.2">
      <c r="A84" s="16" t="s">
        <v>4271</v>
      </c>
      <c r="B84" s="16" t="s">
        <v>4272</v>
      </c>
      <c r="C84" s="55">
        <v>0.88900000000000001</v>
      </c>
      <c r="D84" s="29">
        <v>6.9444444444444447E-4</v>
      </c>
      <c r="E84" s="56">
        <v>37.801119999999997</v>
      </c>
      <c r="F84" s="56">
        <v>128.90296000000001</v>
      </c>
      <c r="G84" s="56">
        <v>37.799819999999997</v>
      </c>
      <c r="H84" s="56">
        <v>128.90088</v>
      </c>
      <c r="I84" s="56">
        <v>37.798920000000003</v>
      </c>
      <c r="J84" s="56">
        <v>128.89940000000001</v>
      </c>
      <c r="K84" s="56">
        <v>37.798699999999997</v>
      </c>
      <c r="L84" s="56">
        <v>128.89909</v>
      </c>
      <c r="M84" s="56">
        <v>37.797809999999998</v>
      </c>
      <c r="N84" s="56">
        <v>128.89821000000001</v>
      </c>
    </row>
    <row r="85" spans="1:14" x14ac:dyDescent="0.2">
      <c r="A85" s="16" t="s">
        <v>4271</v>
      </c>
      <c r="B85" s="16" t="s">
        <v>4273</v>
      </c>
      <c r="C85" s="59">
        <v>0.52300000000000002</v>
      </c>
      <c r="D85" s="28">
        <v>6.9444444444444447E-4</v>
      </c>
      <c r="E85" s="60">
        <v>37.801220000000001</v>
      </c>
      <c r="F85" s="60">
        <v>128.90308999999999</v>
      </c>
      <c r="G85" s="60">
        <v>37.801119999999997</v>
      </c>
      <c r="H85" s="60">
        <v>128.90296000000001</v>
      </c>
      <c r="I85" s="60">
        <v>37.800579999999997</v>
      </c>
      <c r="J85" s="60">
        <v>128.90206000000001</v>
      </c>
      <c r="K85" s="60">
        <v>37.799819999999997</v>
      </c>
      <c r="L85" s="60">
        <v>128.90088</v>
      </c>
      <c r="M85" s="60">
        <v>37.799680000000002</v>
      </c>
      <c r="N85" s="60">
        <v>128.90065999999999</v>
      </c>
    </row>
    <row r="86" spans="1:14" x14ac:dyDescent="0.2">
      <c r="A86" s="16" t="s">
        <v>4271</v>
      </c>
      <c r="B86" s="16" t="s">
        <v>4274</v>
      </c>
      <c r="C86" s="55">
        <v>2.7970000000000002</v>
      </c>
      <c r="D86" s="29">
        <v>2.7777777777777779E-3</v>
      </c>
      <c r="E86" s="56">
        <v>37.797809999999998</v>
      </c>
      <c r="F86" s="56">
        <v>128.89821000000001</v>
      </c>
      <c r="G86" s="56">
        <v>37.79298</v>
      </c>
      <c r="H86" s="56">
        <v>128.89636999999999</v>
      </c>
      <c r="I86" s="56">
        <v>37.786520000000003</v>
      </c>
      <c r="J86" s="56">
        <v>128.89292</v>
      </c>
      <c r="K86" s="56">
        <v>37.785719999999998</v>
      </c>
      <c r="L86" s="56">
        <v>128.89152999999999</v>
      </c>
      <c r="M86" s="56">
        <v>37.785699999999999</v>
      </c>
      <c r="N86" s="56">
        <v>128.88976</v>
      </c>
    </row>
    <row r="87" spans="1:14" x14ac:dyDescent="0.2">
      <c r="A87" s="16" t="s">
        <v>4271</v>
      </c>
      <c r="B87" s="16" t="s">
        <v>4275</v>
      </c>
      <c r="C87" s="59">
        <v>3.65</v>
      </c>
      <c r="D87" s="28">
        <v>3.472222222222222E-3</v>
      </c>
      <c r="E87" s="60">
        <v>37.79533</v>
      </c>
      <c r="F87" s="60">
        <v>128.89708999999999</v>
      </c>
      <c r="G87" s="60">
        <v>37.78633</v>
      </c>
      <c r="H87" s="60">
        <v>128.89352</v>
      </c>
      <c r="I87" s="60">
        <v>37.783940000000001</v>
      </c>
      <c r="J87" s="60">
        <v>128.89167</v>
      </c>
      <c r="K87" s="60">
        <v>37.781289999999998</v>
      </c>
      <c r="L87" s="60">
        <v>128.88889</v>
      </c>
      <c r="M87" s="60">
        <v>37.778280000000002</v>
      </c>
      <c r="N87" s="60">
        <v>128.88565</v>
      </c>
    </row>
    <row r="88" spans="1:14" x14ac:dyDescent="0.2">
      <c r="A88" s="16" t="s">
        <v>4271</v>
      </c>
      <c r="B88" s="16" t="s">
        <v>4276</v>
      </c>
      <c r="C88" s="55">
        <v>5.577</v>
      </c>
      <c r="D88" s="29">
        <v>6.2499999999999995E-3</v>
      </c>
      <c r="E88" s="56">
        <v>37.804319999999997</v>
      </c>
      <c r="F88" s="56">
        <v>128.90638000000001</v>
      </c>
      <c r="G88" s="56">
        <v>37.797759999999997</v>
      </c>
      <c r="H88" s="56">
        <v>128.91189</v>
      </c>
      <c r="I88" s="56">
        <v>37.794350000000001</v>
      </c>
      <c r="J88" s="56">
        <v>128.91603000000001</v>
      </c>
      <c r="K88" s="56">
        <v>37.786729999999999</v>
      </c>
      <c r="L88" s="56">
        <v>128.92340999999999</v>
      </c>
      <c r="M88" s="56">
        <v>37.780529999999999</v>
      </c>
      <c r="N88" s="56">
        <v>128.93233000000001</v>
      </c>
    </row>
    <row r="89" spans="1:14" x14ac:dyDescent="0.2">
      <c r="A89" s="16" t="s">
        <v>4271</v>
      </c>
      <c r="B89" s="16" t="s">
        <v>4277</v>
      </c>
      <c r="C89" s="59">
        <v>4.867</v>
      </c>
      <c r="D89" s="28">
        <v>5.5555555555555558E-3</v>
      </c>
      <c r="E89" s="60">
        <v>37.804250000000003</v>
      </c>
      <c r="F89" s="60">
        <v>128.90611000000001</v>
      </c>
      <c r="G89" s="60">
        <v>37.799570000000003</v>
      </c>
      <c r="H89" s="60">
        <v>128.91148000000001</v>
      </c>
      <c r="I89" s="60">
        <v>37.79589</v>
      </c>
      <c r="J89" s="60">
        <v>128.91283000000001</v>
      </c>
      <c r="K89" s="60">
        <v>37.789920000000002</v>
      </c>
      <c r="L89" s="60">
        <v>128.92085</v>
      </c>
      <c r="M89" s="60">
        <v>37.786200000000001</v>
      </c>
      <c r="N89" s="60">
        <v>128.92438000000001</v>
      </c>
    </row>
    <row r="90" spans="1:14" x14ac:dyDescent="0.2">
      <c r="A90" s="16" t="s">
        <v>4271</v>
      </c>
      <c r="B90" s="16" t="s">
        <v>4278</v>
      </c>
      <c r="C90" s="55">
        <v>2.6779999999999999</v>
      </c>
      <c r="D90" s="29">
        <v>3.472222222222222E-3</v>
      </c>
      <c r="E90" s="56">
        <v>37.803460000000001</v>
      </c>
      <c r="F90" s="56">
        <v>128.90504999999999</v>
      </c>
      <c r="G90" s="56">
        <v>37.804110000000001</v>
      </c>
      <c r="H90" s="56">
        <v>128.90710000000001</v>
      </c>
      <c r="I90" s="56">
        <v>37.799720000000001</v>
      </c>
      <c r="J90" s="56">
        <v>128.91144</v>
      </c>
      <c r="K90" s="56">
        <v>37.796779999999998</v>
      </c>
      <c r="L90" s="56">
        <v>128.91211999999999</v>
      </c>
      <c r="M90" s="56">
        <v>37.795499999999997</v>
      </c>
      <c r="N90" s="56">
        <v>128.91356999999999</v>
      </c>
    </row>
    <row r="91" spans="1:14" x14ac:dyDescent="0.2">
      <c r="A91" s="16" t="s">
        <v>4271</v>
      </c>
      <c r="B91" s="16" t="s">
        <v>4279</v>
      </c>
      <c r="C91" s="59">
        <v>3.5720000000000001</v>
      </c>
      <c r="D91" s="28">
        <v>4.8611111111111112E-3</v>
      </c>
      <c r="E91" s="60">
        <v>37.804250000000003</v>
      </c>
      <c r="F91" s="60">
        <v>128.90611000000001</v>
      </c>
      <c r="G91" s="60">
        <v>37.799570000000003</v>
      </c>
      <c r="H91" s="60">
        <v>128.91148000000001</v>
      </c>
      <c r="I91" s="60">
        <v>37.79589</v>
      </c>
      <c r="J91" s="60">
        <v>128.91283000000001</v>
      </c>
      <c r="K91" s="60">
        <v>37.792360000000002</v>
      </c>
      <c r="L91" s="60">
        <v>128.91347999999999</v>
      </c>
      <c r="M91" s="60">
        <v>37.789380000000001</v>
      </c>
      <c r="N91" s="60">
        <v>128.90932000000001</v>
      </c>
    </row>
    <row r="92" spans="1:14" x14ac:dyDescent="0.2">
      <c r="A92" s="16" t="s">
        <v>4271</v>
      </c>
      <c r="B92" s="16" t="s">
        <v>4280</v>
      </c>
      <c r="C92" s="55">
        <v>0.85099999999999998</v>
      </c>
      <c r="D92" s="29">
        <v>6.9444444444444447E-4</v>
      </c>
      <c r="E92" s="56">
        <v>37.801549999999999</v>
      </c>
      <c r="F92" s="56">
        <v>128.90346</v>
      </c>
      <c r="G92" s="56">
        <v>37.802460000000004</v>
      </c>
      <c r="H92" s="56">
        <v>128.90432000000001</v>
      </c>
      <c r="I92" s="56">
        <v>37.803809999999999</v>
      </c>
      <c r="J92" s="56">
        <v>128.90525</v>
      </c>
      <c r="K92" s="56">
        <v>37.804070000000003</v>
      </c>
      <c r="L92" s="56">
        <v>128.90563</v>
      </c>
      <c r="M92" s="56">
        <v>37.804340000000003</v>
      </c>
      <c r="N92" s="56">
        <v>128.9066</v>
      </c>
    </row>
    <row r="93" spans="1:14" x14ac:dyDescent="0.2">
      <c r="A93" s="16" t="s">
        <v>4272</v>
      </c>
      <c r="B93" s="16" t="s">
        <v>527</v>
      </c>
      <c r="C93" s="59">
        <v>4.3540000000000001</v>
      </c>
      <c r="D93" s="28">
        <v>5.5555555555555558E-3</v>
      </c>
      <c r="E93" s="60">
        <v>37.785060000000001</v>
      </c>
      <c r="F93" s="60">
        <v>128.89330000000001</v>
      </c>
      <c r="G93" s="60">
        <v>37.780999999999999</v>
      </c>
      <c r="H93" s="60">
        <v>128.89451</v>
      </c>
      <c r="I93" s="60">
        <v>37.777050000000003</v>
      </c>
      <c r="J93" s="60">
        <v>128.89653999999999</v>
      </c>
      <c r="K93" s="60">
        <v>37.772959999999998</v>
      </c>
      <c r="L93" s="60">
        <v>128.90017</v>
      </c>
      <c r="M93" s="60">
        <v>37.770400000000002</v>
      </c>
      <c r="N93" s="60">
        <v>128.90506999999999</v>
      </c>
    </row>
    <row r="94" spans="1:14" x14ac:dyDescent="0.2">
      <c r="A94" s="16" t="s">
        <v>4272</v>
      </c>
      <c r="B94" s="16" t="s">
        <v>4267</v>
      </c>
      <c r="C94" s="55">
        <v>2.8769999999999998</v>
      </c>
      <c r="D94" s="29">
        <v>2.7777777777777779E-3</v>
      </c>
      <c r="E94" s="56">
        <v>37.798920000000003</v>
      </c>
      <c r="F94" s="56">
        <v>128.89940000000001</v>
      </c>
      <c r="G94" s="56">
        <v>37.802460000000004</v>
      </c>
      <c r="H94" s="56">
        <v>128.90432000000001</v>
      </c>
      <c r="I94" s="56">
        <v>37.804319999999997</v>
      </c>
      <c r="J94" s="56">
        <v>128.90638000000001</v>
      </c>
      <c r="K94" s="56">
        <v>37.800930000000001</v>
      </c>
      <c r="L94" s="56">
        <v>128.911</v>
      </c>
      <c r="M94" s="56">
        <v>37.797089999999997</v>
      </c>
      <c r="N94" s="56">
        <v>128.91204999999999</v>
      </c>
    </row>
    <row r="95" spans="1:14" x14ac:dyDescent="0.2">
      <c r="A95" s="16" t="s">
        <v>4272</v>
      </c>
      <c r="B95" s="16" t="s">
        <v>4268</v>
      </c>
      <c r="C95" s="59">
        <v>3.5150000000000001</v>
      </c>
      <c r="D95" s="28">
        <v>3.472222222222222E-3</v>
      </c>
      <c r="E95" s="60">
        <v>37.786279999999998</v>
      </c>
      <c r="F95" s="60">
        <v>128.89352</v>
      </c>
      <c r="G95" s="60">
        <v>37.7821</v>
      </c>
      <c r="H95" s="60">
        <v>128.89321000000001</v>
      </c>
      <c r="I95" s="60">
        <v>37.780889999999999</v>
      </c>
      <c r="J95" s="60">
        <v>128.89469</v>
      </c>
      <c r="K95" s="60">
        <v>37.78219</v>
      </c>
      <c r="L95" s="60">
        <v>128.89839000000001</v>
      </c>
      <c r="M95" s="60">
        <v>37.784280000000003</v>
      </c>
      <c r="N95" s="60">
        <v>128.90369000000001</v>
      </c>
    </row>
    <row r="96" spans="1:14" x14ac:dyDescent="0.2">
      <c r="A96" s="16" t="s">
        <v>4272</v>
      </c>
      <c r="B96" s="16" t="s">
        <v>4269</v>
      </c>
      <c r="C96" s="55">
        <v>2.2799999999999998</v>
      </c>
      <c r="D96" s="29">
        <v>2.7777777777777779E-3</v>
      </c>
      <c r="E96" s="56">
        <v>37.788539999999998</v>
      </c>
      <c r="F96" s="56">
        <v>128.89434</v>
      </c>
      <c r="G96" s="56">
        <v>37.784889999999997</v>
      </c>
      <c r="H96" s="56">
        <v>128.89320000000001</v>
      </c>
      <c r="I96" s="56">
        <v>37.781759999999998</v>
      </c>
      <c r="J96" s="56">
        <v>128.89347000000001</v>
      </c>
      <c r="K96" s="56">
        <v>37.780929999999998</v>
      </c>
      <c r="L96" s="56">
        <v>128.89456000000001</v>
      </c>
      <c r="M96" s="56">
        <v>37.779769999999999</v>
      </c>
      <c r="N96" s="56">
        <v>128.89542</v>
      </c>
    </row>
    <row r="97" spans="1:14" x14ac:dyDescent="0.2">
      <c r="A97" s="16" t="s">
        <v>4272</v>
      </c>
      <c r="B97" s="16" t="s">
        <v>4270</v>
      </c>
      <c r="C97" s="59">
        <v>1.9810000000000001</v>
      </c>
      <c r="D97" s="28">
        <v>2.0833333333333333E-3</v>
      </c>
      <c r="E97" s="60">
        <v>37.797809999999998</v>
      </c>
      <c r="F97" s="60">
        <v>128.89821000000001</v>
      </c>
      <c r="G97" s="60">
        <v>37.800579999999997</v>
      </c>
      <c r="H97" s="60">
        <v>128.90206000000001</v>
      </c>
      <c r="I97" s="60">
        <v>37.802439999999997</v>
      </c>
      <c r="J97" s="60">
        <v>128.90428</v>
      </c>
      <c r="K97" s="60">
        <v>37.803910000000002</v>
      </c>
      <c r="L97" s="60">
        <v>128.90536</v>
      </c>
      <c r="M97" s="60">
        <v>37.804279999999999</v>
      </c>
      <c r="N97" s="60">
        <v>128.90672000000001</v>
      </c>
    </row>
    <row r="98" spans="1:14" x14ac:dyDescent="0.2">
      <c r="A98" s="16" t="s">
        <v>4272</v>
      </c>
      <c r="B98" s="16" t="s">
        <v>4271</v>
      </c>
      <c r="C98" s="55">
        <v>0.88900000000000001</v>
      </c>
      <c r="D98" s="29">
        <v>6.9444444444444447E-4</v>
      </c>
      <c r="E98" s="56">
        <v>37.79533</v>
      </c>
      <c r="F98" s="56">
        <v>128.89708999999999</v>
      </c>
      <c r="G98" s="56">
        <v>37.796979999999998</v>
      </c>
      <c r="H98" s="56">
        <v>128.89762999999999</v>
      </c>
      <c r="I98" s="56">
        <v>37.797429999999999</v>
      </c>
      <c r="J98" s="56">
        <v>128.89793</v>
      </c>
      <c r="K98" s="56">
        <v>37.798380000000002</v>
      </c>
      <c r="L98" s="56">
        <v>128.89873</v>
      </c>
      <c r="M98" s="56">
        <v>37.798720000000003</v>
      </c>
      <c r="N98" s="56">
        <v>128.89911000000001</v>
      </c>
    </row>
    <row r="99" spans="1:14" x14ac:dyDescent="0.2">
      <c r="A99" s="16" t="s">
        <v>4272</v>
      </c>
      <c r="B99" s="16" t="s">
        <v>4272</v>
      </c>
      <c r="C99" s="59">
        <v>0</v>
      </c>
      <c r="D99" s="28">
        <v>0</v>
      </c>
      <c r="E99" s="60">
        <f>'1.Locations'!D8</f>
        <v>37.795191717606301</v>
      </c>
      <c r="F99" s="60">
        <f>'1.Locations'!E8</f>
        <v>128.89692747110601</v>
      </c>
      <c r="G99" s="60">
        <f>'1.Locations'!D8</f>
        <v>37.795191717606301</v>
      </c>
      <c r="H99" s="60">
        <f>'1.Locations'!E8</f>
        <v>128.89692747110601</v>
      </c>
      <c r="I99" s="60">
        <f>'1.Locations'!D8</f>
        <v>37.795191717606301</v>
      </c>
      <c r="J99" s="60">
        <f>'1.Locations'!E8</f>
        <v>128.89692747110601</v>
      </c>
      <c r="K99" s="60">
        <f>'1.Locations'!D8</f>
        <v>37.795191717606301</v>
      </c>
      <c r="L99" s="60">
        <f>'1.Locations'!E8</f>
        <v>128.89692747110601</v>
      </c>
      <c r="M99" s="60">
        <f>'1.Locations'!D8</f>
        <v>37.795191717606301</v>
      </c>
      <c r="N99" s="60">
        <f>'1.Locations'!E8</f>
        <v>128.89692747110601</v>
      </c>
    </row>
    <row r="100" spans="1:14" x14ac:dyDescent="0.2">
      <c r="A100" s="16" t="s">
        <v>4272</v>
      </c>
      <c r="B100" s="16" t="s">
        <v>4273</v>
      </c>
      <c r="C100" s="55">
        <v>0.36599999999999999</v>
      </c>
      <c r="D100" s="29">
        <v>0</v>
      </c>
      <c r="E100" s="56">
        <v>37.795169999999999</v>
      </c>
      <c r="F100" s="56">
        <v>128.89704</v>
      </c>
      <c r="G100" s="56">
        <v>37.79533</v>
      </c>
      <c r="H100" s="56">
        <v>128.89708999999999</v>
      </c>
      <c r="I100" s="56">
        <v>37.796720000000001</v>
      </c>
      <c r="J100" s="56">
        <v>128.89751999999999</v>
      </c>
      <c r="K100" s="56">
        <v>37.796979999999998</v>
      </c>
      <c r="L100" s="56">
        <v>128.89762999999999</v>
      </c>
      <c r="M100" s="56">
        <v>37.797049999999999</v>
      </c>
      <c r="N100" s="56">
        <v>128.89767000000001</v>
      </c>
    </row>
    <row r="101" spans="1:14" x14ac:dyDescent="0.2">
      <c r="A101" s="16" t="s">
        <v>4272</v>
      </c>
      <c r="B101" s="16" t="s">
        <v>4274</v>
      </c>
      <c r="C101" s="59">
        <v>1.9079999999999999</v>
      </c>
      <c r="D101" s="28">
        <v>1.3888888888888889E-3</v>
      </c>
      <c r="E101" s="60">
        <v>37.79177</v>
      </c>
      <c r="F101" s="60">
        <v>128.89581999999999</v>
      </c>
      <c r="G101" s="60">
        <v>37.786520000000003</v>
      </c>
      <c r="H101" s="60">
        <v>128.89292</v>
      </c>
      <c r="I101" s="60">
        <v>37.785809999999998</v>
      </c>
      <c r="J101" s="60">
        <v>128.89168000000001</v>
      </c>
      <c r="K101" s="60">
        <v>37.785449999999997</v>
      </c>
      <c r="L101" s="60">
        <v>128.89048</v>
      </c>
      <c r="M101" s="60">
        <v>37.786009999999997</v>
      </c>
      <c r="N101" s="60">
        <v>128.88912999999999</v>
      </c>
    </row>
    <row r="102" spans="1:14" x14ac:dyDescent="0.2">
      <c r="A102" s="16" t="s">
        <v>4272</v>
      </c>
      <c r="B102" s="16" t="s">
        <v>4275</v>
      </c>
      <c r="C102" s="55">
        <v>2.7610000000000001</v>
      </c>
      <c r="D102" s="29">
        <v>2.7777777777777779E-3</v>
      </c>
      <c r="E102" s="56">
        <v>37.787010000000002</v>
      </c>
      <c r="F102" s="56">
        <v>128.89372</v>
      </c>
      <c r="G102" s="56">
        <v>37.784610000000001</v>
      </c>
      <c r="H102" s="56">
        <v>128.89296999999999</v>
      </c>
      <c r="I102" s="56">
        <v>37.783099999999997</v>
      </c>
      <c r="J102" s="56">
        <v>128.88986</v>
      </c>
      <c r="K102" s="56">
        <v>37.78002</v>
      </c>
      <c r="L102" s="56">
        <v>128.8871</v>
      </c>
      <c r="M102" s="56">
        <v>37.778309999999998</v>
      </c>
      <c r="N102" s="56">
        <v>128.88489000000001</v>
      </c>
    </row>
    <row r="103" spans="1:14" x14ac:dyDescent="0.2">
      <c r="A103" s="16" t="s">
        <v>4272</v>
      </c>
      <c r="B103" s="16" t="s">
        <v>4276</v>
      </c>
      <c r="C103" s="59">
        <v>6.4660000000000002</v>
      </c>
      <c r="D103" s="28">
        <v>6.9444444444444441E-3</v>
      </c>
      <c r="E103" s="60">
        <v>37.802439999999997</v>
      </c>
      <c r="F103" s="60">
        <v>128.90428</v>
      </c>
      <c r="G103" s="60">
        <v>37.801679999999998</v>
      </c>
      <c r="H103" s="60">
        <v>128.91045</v>
      </c>
      <c r="I103" s="60">
        <v>37.796199999999999</v>
      </c>
      <c r="J103" s="60">
        <v>128.91247999999999</v>
      </c>
      <c r="K103" s="60">
        <v>37.787269999999999</v>
      </c>
      <c r="L103" s="60">
        <v>128.92319000000001</v>
      </c>
      <c r="M103" s="60">
        <v>37.782649999999997</v>
      </c>
      <c r="N103" s="60">
        <v>128.93061</v>
      </c>
    </row>
    <row r="104" spans="1:14" x14ac:dyDescent="0.2">
      <c r="A104" s="16" t="s">
        <v>4272</v>
      </c>
      <c r="B104" s="16" t="s">
        <v>4277</v>
      </c>
      <c r="C104" s="55">
        <v>5.7560000000000002</v>
      </c>
      <c r="D104" s="29">
        <v>5.5555555555555558E-3</v>
      </c>
      <c r="E104" s="56">
        <v>37.802320000000002</v>
      </c>
      <c r="F104" s="56">
        <v>128.90418</v>
      </c>
      <c r="G104" s="56">
        <v>37.802990000000001</v>
      </c>
      <c r="H104" s="56">
        <v>128.90897000000001</v>
      </c>
      <c r="I104" s="56">
        <v>37.796489999999999</v>
      </c>
      <c r="J104" s="56">
        <v>128.91225</v>
      </c>
      <c r="K104" s="56">
        <v>37.791609999999999</v>
      </c>
      <c r="L104" s="56">
        <v>128.91934000000001</v>
      </c>
      <c r="M104" s="56">
        <v>37.785110000000003</v>
      </c>
      <c r="N104" s="56">
        <v>128.92637999999999</v>
      </c>
    </row>
    <row r="105" spans="1:14" x14ac:dyDescent="0.2">
      <c r="A105" s="16" t="s">
        <v>4272</v>
      </c>
      <c r="B105" s="16" t="s">
        <v>4278</v>
      </c>
      <c r="C105" s="59">
        <v>3.5670000000000002</v>
      </c>
      <c r="D105" s="28">
        <v>4.1666666666666666E-3</v>
      </c>
      <c r="E105" s="60">
        <v>37.799819999999997</v>
      </c>
      <c r="F105" s="60">
        <v>128.90088</v>
      </c>
      <c r="G105" s="60">
        <v>37.803809999999999</v>
      </c>
      <c r="H105" s="60">
        <v>128.90525</v>
      </c>
      <c r="I105" s="60">
        <v>37.803319999999999</v>
      </c>
      <c r="J105" s="60">
        <v>128.90853999999999</v>
      </c>
      <c r="K105" s="60">
        <v>37.797759999999997</v>
      </c>
      <c r="L105" s="60">
        <v>128.91189</v>
      </c>
      <c r="M105" s="60">
        <v>37.79589</v>
      </c>
      <c r="N105" s="60">
        <v>128.91283000000001</v>
      </c>
    </row>
    <row r="106" spans="1:14" x14ac:dyDescent="0.2">
      <c r="A106" s="16" t="s">
        <v>4272</v>
      </c>
      <c r="B106" s="16" t="s">
        <v>4279</v>
      </c>
      <c r="C106" s="55">
        <v>4.4610000000000003</v>
      </c>
      <c r="D106" s="29">
        <v>5.5555555555555558E-3</v>
      </c>
      <c r="E106" s="56">
        <v>37.802320000000002</v>
      </c>
      <c r="F106" s="56">
        <v>128.90418</v>
      </c>
      <c r="G106" s="56">
        <v>37.802990000000001</v>
      </c>
      <c r="H106" s="56">
        <v>128.90897000000001</v>
      </c>
      <c r="I106" s="56">
        <v>37.796489999999999</v>
      </c>
      <c r="J106" s="56">
        <v>128.91225</v>
      </c>
      <c r="K106" s="56">
        <v>37.792769999999997</v>
      </c>
      <c r="L106" s="56">
        <v>128.91386</v>
      </c>
      <c r="M106" s="56">
        <v>37.789169999999999</v>
      </c>
      <c r="N106" s="56">
        <v>128.90917999999999</v>
      </c>
    </row>
    <row r="107" spans="1:14" x14ac:dyDescent="0.2">
      <c r="A107" s="16" t="s">
        <v>4272</v>
      </c>
      <c r="B107" s="16" t="s">
        <v>4280</v>
      </c>
      <c r="C107" s="59">
        <v>1.74</v>
      </c>
      <c r="D107" s="28">
        <v>1.3888888888888889E-3</v>
      </c>
      <c r="E107" s="60">
        <v>37.797429999999999</v>
      </c>
      <c r="F107" s="60">
        <v>128.89793</v>
      </c>
      <c r="G107" s="60">
        <v>37.799680000000002</v>
      </c>
      <c r="H107" s="60">
        <v>128.90065999999999</v>
      </c>
      <c r="I107" s="60">
        <v>37.801549999999999</v>
      </c>
      <c r="J107" s="60">
        <v>128.90346</v>
      </c>
      <c r="K107" s="60">
        <v>37.803240000000002</v>
      </c>
      <c r="L107" s="60">
        <v>128.90493000000001</v>
      </c>
      <c r="M107" s="60">
        <v>37.804070000000003</v>
      </c>
      <c r="N107" s="60">
        <v>128.90563</v>
      </c>
    </row>
    <row r="108" spans="1:14" x14ac:dyDescent="0.2">
      <c r="A108" s="16" t="s">
        <v>4273</v>
      </c>
      <c r="B108" s="16" t="s">
        <v>527</v>
      </c>
      <c r="C108" s="55">
        <v>4.72</v>
      </c>
      <c r="D108" s="29">
        <v>6.2499999999999995E-3</v>
      </c>
      <c r="E108" s="56">
        <v>37.785899999999998</v>
      </c>
      <c r="F108" s="56">
        <v>128.89349000000001</v>
      </c>
      <c r="G108" s="56">
        <v>37.781210000000002</v>
      </c>
      <c r="H108" s="56">
        <v>128.89434</v>
      </c>
      <c r="I108" s="56">
        <v>37.777540000000002</v>
      </c>
      <c r="J108" s="56">
        <v>128.89626999999999</v>
      </c>
      <c r="K108" s="56">
        <v>37.773510000000002</v>
      </c>
      <c r="L108" s="56">
        <v>128.89982000000001</v>
      </c>
      <c r="M108" s="56">
        <v>37.770339999999997</v>
      </c>
      <c r="N108" s="56">
        <v>128.90393</v>
      </c>
    </row>
    <row r="109" spans="1:14" x14ac:dyDescent="0.2">
      <c r="A109" s="16" t="s">
        <v>4273</v>
      </c>
      <c r="B109" s="16" t="s">
        <v>4267</v>
      </c>
      <c r="C109" s="59">
        <v>2.5110000000000001</v>
      </c>
      <c r="D109" s="28">
        <v>2.7777777777777779E-3</v>
      </c>
      <c r="E109" s="60">
        <v>37.801259999999999</v>
      </c>
      <c r="F109" s="60">
        <v>128.90316000000001</v>
      </c>
      <c r="G109" s="60">
        <v>37.803809999999999</v>
      </c>
      <c r="H109" s="60">
        <v>128.90525</v>
      </c>
      <c r="I109" s="60">
        <v>37.804110000000001</v>
      </c>
      <c r="J109" s="60">
        <v>128.90710000000001</v>
      </c>
      <c r="K109" s="60">
        <v>37.800490000000003</v>
      </c>
      <c r="L109" s="60">
        <v>128.91121999999999</v>
      </c>
      <c r="M109" s="60">
        <v>37.797049999999999</v>
      </c>
      <c r="N109" s="60">
        <v>128.91206</v>
      </c>
    </row>
    <row r="110" spans="1:14" x14ac:dyDescent="0.2">
      <c r="A110" s="16" t="s">
        <v>4273</v>
      </c>
      <c r="B110" s="16" t="s">
        <v>4268</v>
      </c>
      <c r="C110" s="55">
        <v>3.101</v>
      </c>
      <c r="D110" s="29">
        <v>2.7777777777777779E-3</v>
      </c>
      <c r="E110" s="56">
        <v>37.802439999999997</v>
      </c>
      <c r="F110" s="56">
        <v>128.90428</v>
      </c>
      <c r="G110" s="56">
        <v>37.804110000000001</v>
      </c>
      <c r="H110" s="56">
        <v>128.90710000000001</v>
      </c>
      <c r="I110" s="56">
        <v>37.797910000000002</v>
      </c>
      <c r="J110" s="56">
        <v>128.91184999999999</v>
      </c>
      <c r="K110" s="56">
        <v>37.795810000000003</v>
      </c>
      <c r="L110" s="56">
        <v>128.91297</v>
      </c>
      <c r="M110" s="56">
        <v>37.792459999999998</v>
      </c>
      <c r="N110" s="56">
        <v>128.91356999999999</v>
      </c>
    </row>
    <row r="111" spans="1:14" x14ac:dyDescent="0.2">
      <c r="A111" s="16" t="s">
        <v>4273</v>
      </c>
      <c r="B111" s="16" t="s">
        <v>4269</v>
      </c>
      <c r="C111" s="59">
        <v>2.6459999999999999</v>
      </c>
      <c r="D111" s="28">
        <v>2.7777777777777779E-3</v>
      </c>
      <c r="E111" s="60">
        <v>37.792969999999997</v>
      </c>
      <c r="F111" s="60">
        <v>128.89636999999999</v>
      </c>
      <c r="G111" s="60">
        <v>37.785559999999997</v>
      </c>
      <c r="H111" s="60">
        <v>128.89347000000001</v>
      </c>
      <c r="I111" s="60">
        <v>37.782989999999998</v>
      </c>
      <c r="J111" s="60">
        <v>128.89266000000001</v>
      </c>
      <c r="K111" s="60">
        <v>37.780999999999999</v>
      </c>
      <c r="L111" s="60">
        <v>128.89451</v>
      </c>
      <c r="M111" s="60">
        <v>37.779859999999999</v>
      </c>
      <c r="N111" s="60">
        <v>128.89537999999999</v>
      </c>
    </row>
    <row r="112" spans="1:14" x14ac:dyDescent="0.2">
      <c r="A112" s="16" t="s">
        <v>4273</v>
      </c>
      <c r="B112" s="16" t="s">
        <v>4270</v>
      </c>
      <c r="C112" s="55">
        <v>1.615</v>
      </c>
      <c r="D112" s="29">
        <v>1.3888888888888889E-3</v>
      </c>
      <c r="E112" s="56">
        <v>37.799680000000002</v>
      </c>
      <c r="F112" s="56">
        <v>128.90065999999999</v>
      </c>
      <c r="G112" s="56">
        <v>37.801549999999999</v>
      </c>
      <c r="H112" s="56">
        <v>128.90346</v>
      </c>
      <c r="I112" s="56">
        <v>37.803240000000002</v>
      </c>
      <c r="J112" s="56">
        <v>128.90493000000001</v>
      </c>
      <c r="K112" s="56">
        <v>37.804070000000003</v>
      </c>
      <c r="L112" s="56">
        <v>128.90563</v>
      </c>
      <c r="M112" s="56">
        <v>37.804110000000001</v>
      </c>
      <c r="N112" s="56">
        <v>128.90710000000001</v>
      </c>
    </row>
    <row r="113" spans="1:14" x14ac:dyDescent="0.2">
      <c r="A113" s="16" t="s">
        <v>4273</v>
      </c>
      <c r="B113" s="16" t="s">
        <v>4271</v>
      </c>
      <c r="C113" s="59">
        <v>0.52300000000000002</v>
      </c>
      <c r="D113" s="28">
        <v>6.9444444444444447E-4</v>
      </c>
      <c r="E113" s="60">
        <v>37.798189999999998</v>
      </c>
      <c r="F113" s="60">
        <v>128.89856</v>
      </c>
      <c r="G113" s="60">
        <v>37.798380000000002</v>
      </c>
      <c r="H113" s="60">
        <v>128.89873</v>
      </c>
      <c r="I113" s="60">
        <v>37.798699999999997</v>
      </c>
      <c r="J113" s="60">
        <v>128.89909</v>
      </c>
      <c r="K113" s="60">
        <v>37.798720000000003</v>
      </c>
      <c r="L113" s="60">
        <v>128.89911000000001</v>
      </c>
      <c r="M113" s="60">
        <v>37.798920000000003</v>
      </c>
      <c r="N113" s="60">
        <v>128.89940000000001</v>
      </c>
    </row>
    <row r="114" spans="1:14" x14ac:dyDescent="0.2">
      <c r="A114" s="16" t="s">
        <v>4273</v>
      </c>
      <c r="B114" s="16" t="s">
        <v>4272</v>
      </c>
      <c r="C114" s="55">
        <v>0.36599999999999999</v>
      </c>
      <c r="D114" s="29">
        <v>0</v>
      </c>
      <c r="E114" s="56">
        <v>37.798189999999998</v>
      </c>
      <c r="F114" s="56">
        <v>128.89856</v>
      </c>
      <c r="G114" s="56">
        <v>37.797809999999998</v>
      </c>
      <c r="H114" s="56">
        <v>128.89821000000001</v>
      </c>
      <c r="I114" s="56">
        <v>37.797429999999999</v>
      </c>
      <c r="J114" s="56">
        <v>128.89793</v>
      </c>
      <c r="K114" s="56">
        <v>37.797049999999999</v>
      </c>
      <c r="L114" s="56">
        <v>128.89767000000001</v>
      </c>
      <c r="M114" s="56">
        <v>37.796979999999998</v>
      </c>
      <c r="N114" s="56">
        <v>128.89762999999999</v>
      </c>
    </row>
    <row r="115" spans="1:14" x14ac:dyDescent="0.2">
      <c r="A115" s="16" t="s">
        <v>4273</v>
      </c>
      <c r="B115" s="16" t="s">
        <v>4273</v>
      </c>
      <c r="C115" s="59">
        <v>0</v>
      </c>
      <c r="D115" s="28">
        <v>0</v>
      </c>
      <c r="E115" s="60">
        <f>'1.Locations'!D9</f>
        <v>37.797273475760399</v>
      </c>
      <c r="F115" s="60">
        <f>'1.Locations'!E9</f>
        <v>128.90017885179</v>
      </c>
      <c r="G115" s="60">
        <f>'1.Locations'!D9</f>
        <v>37.797273475760399</v>
      </c>
      <c r="H115" s="60">
        <f>'1.Locations'!E9</f>
        <v>128.90017885179</v>
      </c>
      <c r="I115" s="60">
        <f>'1.Locations'!D9</f>
        <v>37.797273475760399</v>
      </c>
      <c r="J115" s="60">
        <f>'1.Locations'!E9</f>
        <v>128.90017885179</v>
      </c>
      <c r="K115" s="60">
        <f>'1.Locations'!D9</f>
        <v>37.797273475760399</v>
      </c>
      <c r="L115" s="60">
        <f>'1.Locations'!E9</f>
        <v>128.90017885179</v>
      </c>
      <c r="M115" s="60">
        <f>'1.Locations'!D9</f>
        <v>37.797273475760399</v>
      </c>
      <c r="N115" s="60">
        <f>'1.Locations'!E9</f>
        <v>128.90017885179</v>
      </c>
    </row>
    <row r="116" spans="1:14" x14ac:dyDescent="0.2">
      <c r="A116" s="16" t="s">
        <v>4273</v>
      </c>
      <c r="B116" s="16" t="s">
        <v>4274</v>
      </c>
      <c r="C116" s="55">
        <v>2.274</v>
      </c>
      <c r="D116" s="29">
        <v>2.0833333333333333E-3</v>
      </c>
      <c r="E116" s="56">
        <v>37.793779999999998</v>
      </c>
      <c r="F116" s="56">
        <v>128.89662000000001</v>
      </c>
      <c r="G116" s="56">
        <v>37.788539999999998</v>
      </c>
      <c r="H116" s="56">
        <v>128.89434</v>
      </c>
      <c r="I116" s="56">
        <v>37.786279999999998</v>
      </c>
      <c r="J116" s="56">
        <v>128.89223000000001</v>
      </c>
      <c r="K116" s="56">
        <v>37.785449999999997</v>
      </c>
      <c r="L116" s="56">
        <v>128.89070000000001</v>
      </c>
      <c r="M116" s="56">
        <v>37.785899999999998</v>
      </c>
      <c r="N116" s="56">
        <v>128.88941</v>
      </c>
    </row>
    <row r="117" spans="1:14" x14ac:dyDescent="0.2">
      <c r="A117" s="16" t="s">
        <v>4273</v>
      </c>
      <c r="B117" s="16" t="s">
        <v>4275</v>
      </c>
      <c r="C117" s="59">
        <v>3.1269999999999998</v>
      </c>
      <c r="D117" s="28">
        <v>2.7777777777777779E-3</v>
      </c>
      <c r="E117" s="60">
        <v>37.79177</v>
      </c>
      <c r="F117" s="60">
        <v>128.89581999999999</v>
      </c>
      <c r="G117" s="60">
        <v>37.785420000000002</v>
      </c>
      <c r="H117" s="60">
        <v>128.89345</v>
      </c>
      <c r="I117" s="60">
        <v>37.783389999999997</v>
      </c>
      <c r="J117" s="60">
        <v>128.89024000000001</v>
      </c>
      <c r="K117" s="60">
        <v>37.780189999999997</v>
      </c>
      <c r="L117" s="60">
        <v>128.88723999999999</v>
      </c>
      <c r="M117" s="60">
        <v>37.778280000000002</v>
      </c>
      <c r="N117" s="60">
        <v>128.88508999999999</v>
      </c>
    </row>
    <row r="118" spans="1:14" x14ac:dyDescent="0.2">
      <c r="A118" s="16" t="s">
        <v>4273</v>
      </c>
      <c r="B118" s="16" t="s">
        <v>4276</v>
      </c>
      <c r="C118" s="55">
        <v>6.1</v>
      </c>
      <c r="D118" s="29">
        <v>6.2499999999999995E-3</v>
      </c>
      <c r="E118" s="56">
        <v>37.803809999999999</v>
      </c>
      <c r="F118" s="56">
        <v>128.90525</v>
      </c>
      <c r="G118" s="56">
        <v>37.800490000000003</v>
      </c>
      <c r="H118" s="56">
        <v>128.91121999999999</v>
      </c>
      <c r="I118" s="56">
        <v>37.795810000000003</v>
      </c>
      <c r="J118" s="56">
        <v>128.91297</v>
      </c>
      <c r="K118" s="56">
        <v>37.787080000000003</v>
      </c>
      <c r="L118" s="56">
        <v>128.92330999999999</v>
      </c>
      <c r="M118" s="56">
        <v>37.782470000000004</v>
      </c>
      <c r="N118" s="56">
        <v>128.93078</v>
      </c>
    </row>
    <row r="119" spans="1:14" x14ac:dyDescent="0.2">
      <c r="A119" s="16" t="s">
        <v>4273</v>
      </c>
      <c r="B119" s="16" t="s">
        <v>4277</v>
      </c>
      <c r="C119" s="59">
        <v>5.39</v>
      </c>
      <c r="D119" s="28">
        <v>5.5555555555555558E-3</v>
      </c>
      <c r="E119" s="60">
        <v>37.803460000000001</v>
      </c>
      <c r="F119" s="60">
        <v>128.90504999999999</v>
      </c>
      <c r="G119" s="60">
        <v>37.800930000000001</v>
      </c>
      <c r="H119" s="60">
        <v>128.911</v>
      </c>
      <c r="I119" s="60">
        <v>37.796199999999999</v>
      </c>
      <c r="J119" s="60">
        <v>128.91247999999999</v>
      </c>
      <c r="K119" s="60">
        <v>37.789920000000002</v>
      </c>
      <c r="L119" s="60">
        <v>128.92085</v>
      </c>
      <c r="M119" s="60">
        <v>37.783329999999999</v>
      </c>
      <c r="N119" s="60">
        <v>128.92966000000001</v>
      </c>
    </row>
    <row r="120" spans="1:14" x14ac:dyDescent="0.2">
      <c r="A120" s="16" t="s">
        <v>4273</v>
      </c>
      <c r="B120" s="16" t="s">
        <v>4278</v>
      </c>
      <c r="C120" s="55">
        <v>3.2010000000000001</v>
      </c>
      <c r="D120" s="29">
        <v>4.1666666666666666E-3</v>
      </c>
      <c r="E120" s="56">
        <v>37.801549999999999</v>
      </c>
      <c r="F120" s="56">
        <v>128.90346</v>
      </c>
      <c r="G120" s="56">
        <v>37.804070000000003</v>
      </c>
      <c r="H120" s="56">
        <v>128.90563</v>
      </c>
      <c r="I120" s="56">
        <v>37.801679999999998</v>
      </c>
      <c r="J120" s="56">
        <v>128.91045</v>
      </c>
      <c r="K120" s="56">
        <v>37.797159999999998</v>
      </c>
      <c r="L120" s="56">
        <v>128.91202999999999</v>
      </c>
      <c r="M120" s="56">
        <v>37.795810000000003</v>
      </c>
      <c r="N120" s="56">
        <v>128.91297</v>
      </c>
    </row>
    <row r="121" spans="1:14" x14ac:dyDescent="0.2">
      <c r="A121" s="16" t="s">
        <v>4273</v>
      </c>
      <c r="B121" s="16" t="s">
        <v>4279</v>
      </c>
      <c r="C121" s="59">
        <v>4.0949999999999998</v>
      </c>
      <c r="D121" s="28">
        <v>4.8611111111111112E-3</v>
      </c>
      <c r="E121" s="60">
        <v>37.803460000000001</v>
      </c>
      <c r="F121" s="60">
        <v>128.90504999999999</v>
      </c>
      <c r="G121" s="60">
        <v>37.800930000000001</v>
      </c>
      <c r="H121" s="60">
        <v>128.911</v>
      </c>
      <c r="I121" s="60">
        <v>37.796199999999999</v>
      </c>
      <c r="J121" s="60">
        <v>128.91247999999999</v>
      </c>
      <c r="K121" s="60">
        <v>37.792360000000002</v>
      </c>
      <c r="L121" s="60">
        <v>128.91347999999999</v>
      </c>
      <c r="M121" s="60">
        <v>37.788969999999999</v>
      </c>
      <c r="N121" s="60">
        <v>128.90906000000001</v>
      </c>
    </row>
    <row r="122" spans="1:14" x14ac:dyDescent="0.2">
      <c r="A122" s="16" t="s">
        <v>4273</v>
      </c>
      <c r="B122" s="16" t="s">
        <v>4280</v>
      </c>
      <c r="C122" s="55">
        <v>1.3740000000000001</v>
      </c>
      <c r="D122" s="29">
        <v>1.3888888888888889E-3</v>
      </c>
      <c r="E122" s="56">
        <v>37.798920000000003</v>
      </c>
      <c r="F122" s="56">
        <v>128.89940000000001</v>
      </c>
      <c r="G122" s="56">
        <v>37.801259999999999</v>
      </c>
      <c r="H122" s="56">
        <v>128.90316000000001</v>
      </c>
      <c r="I122" s="56">
        <v>37.802439999999997</v>
      </c>
      <c r="J122" s="56">
        <v>128.90428</v>
      </c>
      <c r="K122" s="56">
        <v>37.803809999999999</v>
      </c>
      <c r="L122" s="56">
        <v>128.90525</v>
      </c>
      <c r="M122" s="56">
        <v>37.804250000000003</v>
      </c>
      <c r="N122" s="56">
        <v>128.90611000000001</v>
      </c>
    </row>
    <row r="123" spans="1:14" x14ac:dyDescent="0.2">
      <c r="A123" s="16" t="s">
        <v>4274</v>
      </c>
      <c r="B123" s="16" t="s">
        <v>527</v>
      </c>
      <c r="C123" s="59">
        <v>4.2750000000000004</v>
      </c>
      <c r="D123" s="28">
        <v>5.5555555555555558E-3</v>
      </c>
      <c r="E123" s="60">
        <v>37.784050000000001</v>
      </c>
      <c r="F123" s="60">
        <v>128.88050000000001</v>
      </c>
      <c r="G123" s="60">
        <v>37.776980000000002</v>
      </c>
      <c r="H123" s="60">
        <v>128.88641999999999</v>
      </c>
      <c r="I123" s="60">
        <v>37.769109999999998</v>
      </c>
      <c r="J123" s="60">
        <v>128.89211</v>
      </c>
      <c r="K123" s="60">
        <v>37.765839999999997</v>
      </c>
      <c r="L123" s="60">
        <v>128.89373000000001</v>
      </c>
      <c r="M123" s="60">
        <v>37.76285</v>
      </c>
      <c r="N123" s="60">
        <v>128.90035</v>
      </c>
    </row>
    <row r="124" spans="1:14" x14ac:dyDescent="0.2">
      <c r="A124" s="16" t="s">
        <v>4274</v>
      </c>
      <c r="B124" s="16" t="s">
        <v>4267</v>
      </c>
      <c r="C124" s="55">
        <v>4.2960000000000003</v>
      </c>
      <c r="D124" s="29">
        <v>4.8611111111111112E-3</v>
      </c>
      <c r="E124" s="56">
        <v>37.785809999999998</v>
      </c>
      <c r="F124" s="56">
        <v>128.89168000000001</v>
      </c>
      <c r="G124" s="56">
        <v>37.784439999999996</v>
      </c>
      <c r="H124" s="56">
        <v>128.89277000000001</v>
      </c>
      <c r="I124" s="56">
        <v>37.780900000000003</v>
      </c>
      <c r="J124" s="56">
        <v>128.89478</v>
      </c>
      <c r="K124" s="56">
        <v>37.783569999999997</v>
      </c>
      <c r="L124" s="56">
        <v>128.90278000000001</v>
      </c>
      <c r="M124" s="56">
        <v>37.789169999999999</v>
      </c>
      <c r="N124" s="56">
        <v>128.90917999999999</v>
      </c>
    </row>
    <row r="125" spans="1:14" x14ac:dyDescent="0.2">
      <c r="A125" s="16" t="s">
        <v>4274</v>
      </c>
      <c r="B125" s="16" t="s">
        <v>4268</v>
      </c>
      <c r="C125" s="59">
        <v>3.4350000000000001</v>
      </c>
      <c r="D125" s="28">
        <v>3.472222222222222E-3</v>
      </c>
      <c r="E125" s="60">
        <v>37.785510000000002</v>
      </c>
      <c r="F125" s="60">
        <v>128.89099999999999</v>
      </c>
      <c r="G125" s="60">
        <v>37.785820000000001</v>
      </c>
      <c r="H125" s="60">
        <v>128.89348000000001</v>
      </c>
      <c r="I125" s="60">
        <v>37.781289999999998</v>
      </c>
      <c r="J125" s="60">
        <v>128.89418000000001</v>
      </c>
      <c r="K125" s="60">
        <v>37.781509999999997</v>
      </c>
      <c r="L125" s="60">
        <v>128.89594</v>
      </c>
      <c r="M125" s="60">
        <v>37.784280000000003</v>
      </c>
      <c r="N125" s="60">
        <v>128.90369000000001</v>
      </c>
    </row>
    <row r="126" spans="1:14" x14ac:dyDescent="0.2">
      <c r="A126" s="16" t="s">
        <v>4274</v>
      </c>
      <c r="B126" s="16" t="s">
        <v>4269</v>
      </c>
      <c r="C126" s="55">
        <v>2.2000000000000002</v>
      </c>
      <c r="D126" s="29">
        <v>2.7777777777777779E-3</v>
      </c>
      <c r="E126" s="56">
        <v>37.785510000000002</v>
      </c>
      <c r="F126" s="56">
        <v>128.89019999999999</v>
      </c>
      <c r="G126" s="56">
        <v>37.78642</v>
      </c>
      <c r="H126" s="56">
        <v>128.89251999999999</v>
      </c>
      <c r="I126" s="56">
        <v>37.785060000000001</v>
      </c>
      <c r="J126" s="56">
        <v>128.89330000000001</v>
      </c>
      <c r="K126" s="56">
        <v>37.781480000000002</v>
      </c>
      <c r="L126" s="56">
        <v>128.89385999999999</v>
      </c>
      <c r="M126" s="56">
        <v>37.780569999999997</v>
      </c>
      <c r="N126" s="56">
        <v>128.89499000000001</v>
      </c>
    </row>
    <row r="127" spans="1:14" x14ac:dyDescent="0.2">
      <c r="A127" s="16" t="s">
        <v>4274</v>
      </c>
      <c r="B127" s="16" t="s">
        <v>4270</v>
      </c>
      <c r="C127" s="59">
        <v>3.903</v>
      </c>
      <c r="D127" s="28">
        <v>4.1666666666666666E-3</v>
      </c>
      <c r="E127" s="60">
        <v>37.78557</v>
      </c>
      <c r="F127" s="60">
        <v>128.89005</v>
      </c>
      <c r="G127" s="60">
        <v>37.786340000000003</v>
      </c>
      <c r="H127" s="60">
        <v>128.89232000000001</v>
      </c>
      <c r="I127" s="60">
        <v>37.792969999999997</v>
      </c>
      <c r="J127" s="60">
        <v>128.89636999999999</v>
      </c>
      <c r="K127" s="60">
        <v>37.798920000000003</v>
      </c>
      <c r="L127" s="60">
        <v>128.89940000000001</v>
      </c>
      <c r="M127" s="60">
        <v>37.803809999999999</v>
      </c>
      <c r="N127" s="60">
        <v>128.90525</v>
      </c>
    </row>
    <row r="128" spans="1:14" x14ac:dyDescent="0.2">
      <c r="A128" s="16" t="s">
        <v>4274</v>
      </c>
      <c r="B128" s="16" t="s">
        <v>4271</v>
      </c>
      <c r="C128" s="55">
        <v>2.8109999999999999</v>
      </c>
      <c r="D128" s="29">
        <v>2.7777777777777779E-3</v>
      </c>
      <c r="E128" s="56">
        <v>37.786009999999997</v>
      </c>
      <c r="F128" s="56">
        <v>128.88912999999999</v>
      </c>
      <c r="G128" s="56">
        <v>37.785449999999997</v>
      </c>
      <c r="H128" s="56">
        <v>128.89070000000001</v>
      </c>
      <c r="I128" s="56">
        <v>37.786340000000003</v>
      </c>
      <c r="J128" s="56">
        <v>128.89232000000001</v>
      </c>
      <c r="K128" s="56">
        <v>37.788539999999998</v>
      </c>
      <c r="L128" s="56">
        <v>128.89434</v>
      </c>
      <c r="M128" s="56">
        <v>37.794229999999999</v>
      </c>
      <c r="N128" s="56">
        <v>128.89675</v>
      </c>
    </row>
    <row r="129" spans="1:14" x14ac:dyDescent="0.2">
      <c r="A129" s="16" t="s">
        <v>4274</v>
      </c>
      <c r="B129" s="16" t="s">
        <v>4272</v>
      </c>
      <c r="C129" s="59">
        <v>1.9219999999999999</v>
      </c>
      <c r="D129" s="28">
        <v>2.0833333333333333E-3</v>
      </c>
      <c r="E129" s="60">
        <v>37.786090000000002</v>
      </c>
      <c r="F129" s="60">
        <v>128.88699</v>
      </c>
      <c r="G129" s="60">
        <v>37.785510000000002</v>
      </c>
      <c r="H129" s="60">
        <v>128.89019999999999</v>
      </c>
      <c r="I129" s="60">
        <v>37.785719999999998</v>
      </c>
      <c r="J129" s="60">
        <v>128.89152999999999</v>
      </c>
      <c r="K129" s="60">
        <v>37.78642</v>
      </c>
      <c r="L129" s="60">
        <v>128.89251999999999</v>
      </c>
      <c r="M129" s="60">
        <v>37.788539999999998</v>
      </c>
      <c r="N129" s="60">
        <v>128.89434</v>
      </c>
    </row>
    <row r="130" spans="1:14" x14ac:dyDescent="0.2">
      <c r="A130" s="16" t="s">
        <v>4274</v>
      </c>
      <c r="B130" s="16" t="s">
        <v>4273</v>
      </c>
      <c r="C130" s="55">
        <v>2.2879999999999998</v>
      </c>
      <c r="D130" s="29">
        <v>2.0833333333333333E-3</v>
      </c>
      <c r="E130" s="56">
        <v>37.786050000000003</v>
      </c>
      <c r="F130" s="56">
        <v>128.88893999999999</v>
      </c>
      <c r="G130" s="56">
        <v>37.785449999999997</v>
      </c>
      <c r="H130" s="56">
        <v>128.89048</v>
      </c>
      <c r="I130" s="56">
        <v>37.785910000000001</v>
      </c>
      <c r="J130" s="56">
        <v>128.89180999999999</v>
      </c>
      <c r="K130" s="56">
        <v>37.786720000000003</v>
      </c>
      <c r="L130" s="56">
        <v>128.89331999999999</v>
      </c>
      <c r="M130" s="56">
        <v>37.792969999999997</v>
      </c>
      <c r="N130" s="56">
        <v>128.89636999999999</v>
      </c>
    </row>
    <row r="131" spans="1:14" x14ac:dyDescent="0.2">
      <c r="A131" s="16" t="s">
        <v>4274</v>
      </c>
      <c r="B131" s="16" t="s">
        <v>4274</v>
      </c>
      <c r="C131" s="59">
        <v>0</v>
      </c>
      <c r="D131" s="28">
        <v>0</v>
      </c>
      <c r="E131" s="60">
        <f>'1.Locations'!D10</f>
        <v>37.784900898309097</v>
      </c>
      <c r="F131" s="60">
        <f>'1.Locations'!E10</f>
        <v>128.88414860348999</v>
      </c>
      <c r="G131" s="60">
        <f>'1.Locations'!D10</f>
        <v>37.784900898309097</v>
      </c>
      <c r="H131" s="60">
        <f>'1.Locations'!E10</f>
        <v>128.88414860348999</v>
      </c>
      <c r="I131" s="60">
        <f>'1.Locations'!D10</f>
        <v>37.784900898309097</v>
      </c>
      <c r="J131" s="60">
        <f>'1.Locations'!E10</f>
        <v>128.88414860348999</v>
      </c>
      <c r="K131" s="60">
        <f>'1.Locations'!D10</f>
        <v>37.784900898309097</v>
      </c>
      <c r="L131" s="60">
        <f>'1.Locations'!E10</f>
        <v>128.88414860348999</v>
      </c>
      <c r="M131" s="60">
        <f>'1.Locations'!D10</f>
        <v>37.784900898309097</v>
      </c>
      <c r="N131" s="60">
        <f>'1.Locations'!E10</f>
        <v>128.88414860348999</v>
      </c>
    </row>
    <row r="132" spans="1:14" x14ac:dyDescent="0.2">
      <c r="A132" s="16" t="s">
        <v>4274</v>
      </c>
      <c r="B132" s="16" t="s">
        <v>4275</v>
      </c>
      <c r="C132" s="55">
        <v>1.0629999999999999</v>
      </c>
      <c r="D132" s="29">
        <v>2.0833333333333333E-3</v>
      </c>
      <c r="E132" s="56">
        <v>37.784059999999997</v>
      </c>
      <c r="F132" s="56">
        <v>128.88247000000001</v>
      </c>
      <c r="G132" s="56">
        <v>37.784179999999999</v>
      </c>
      <c r="H132" s="56">
        <v>128.88133999999999</v>
      </c>
      <c r="I132" s="56">
        <v>37.784239999999997</v>
      </c>
      <c r="J132" s="56">
        <v>128.88077000000001</v>
      </c>
      <c r="K132" s="56">
        <v>37.783630000000002</v>
      </c>
      <c r="L132" s="56">
        <v>128.88031000000001</v>
      </c>
      <c r="M132" s="56">
        <v>37.781880000000001</v>
      </c>
      <c r="N132" s="56">
        <v>128.88042999999999</v>
      </c>
    </row>
    <row r="133" spans="1:14" x14ac:dyDescent="0.2">
      <c r="A133" s="16" t="s">
        <v>4274</v>
      </c>
      <c r="B133" s="16" t="s">
        <v>4276</v>
      </c>
      <c r="C133" s="59">
        <v>7.8849999999999998</v>
      </c>
      <c r="D133" s="28">
        <v>8.3333333333333332E-3</v>
      </c>
      <c r="E133" s="60">
        <v>37.786700000000003</v>
      </c>
      <c r="F133" s="60">
        <v>128.89324999999999</v>
      </c>
      <c r="G133" s="60">
        <v>37.781030000000001</v>
      </c>
      <c r="H133" s="60">
        <v>128.89449999999999</v>
      </c>
      <c r="I133" s="60">
        <v>37.783619999999999</v>
      </c>
      <c r="J133" s="60">
        <v>128.90289000000001</v>
      </c>
      <c r="K133" s="60">
        <v>37.790779999999998</v>
      </c>
      <c r="L133" s="60">
        <v>128.91144</v>
      </c>
      <c r="M133" s="60">
        <v>37.786799999999999</v>
      </c>
      <c r="N133" s="60">
        <v>128.92339000000001</v>
      </c>
    </row>
    <row r="134" spans="1:14" x14ac:dyDescent="0.2">
      <c r="A134" s="16" t="s">
        <v>4274</v>
      </c>
      <c r="B134" s="16" t="s">
        <v>4277</v>
      </c>
      <c r="C134" s="55">
        <v>7.1749999999999998</v>
      </c>
      <c r="D134" s="29">
        <v>7.6388888888888886E-3</v>
      </c>
      <c r="E134" s="56">
        <v>37.786520000000003</v>
      </c>
      <c r="F134" s="56">
        <v>128.89292</v>
      </c>
      <c r="G134" s="56">
        <v>37.781109999999998</v>
      </c>
      <c r="H134" s="56">
        <v>128.89452</v>
      </c>
      <c r="I134" s="56">
        <v>37.783189999999998</v>
      </c>
      <c r="J134" s="56">
        <v>128.90215000000001</v>
      </c>
      <c r="K134" s="56">
        <v>37.79063</v>
      </c>
      <c r="L134" s="56">
        <v>128.91070999999999</v>
      </c>
      <c r="M134" s="56">
        <v>37.787269999999999</v>
      </c>
      <c r="N134" s="56">
        <v>128.92319000000001</v>
      </c>
    </row>
    <row r="135" spans="1:14" x14ac:dyDescent="0.2">
      <c r="A135" s="16" t="s">
        <v>4274</v>
      </c>
      <c r="B135" s="16" t="s">
        <v>4278</v>
      </c>
      <c r="C135" s="59">
        <v>5.0629999999999997</v>
      </c>
      <c r="D135" s="28">
        <v>5.5555555555555558E-3</v>
      </c>
      <c r="E135" s="60">
        <v>37.786340000000003</v>
      </c>
      <c r="F135" s="60">
        <v>128.89232000000001</v>
      </c>
      <c r="G135" s="60">
        <v>37.781829999999999</v>
      </c>
      <c r="H135" s="60">
        <v>128.89340000000001</v>
      </c>
      <c r="I135" s="60">
        <v>37.781999999999996</v>
      </c>
      <c r="J135" s="60">
        <v>128.89757</v>
      </c>
      <c r="K135" s="60">
        <v>37.786450000000002</v>
      </c>
      <c r="L135" s="60">
        <v>128.90648999999999</v>
      </c>
      <c r="M135" s="60">
        <v>37.792769999999997</v>
      </c>
      <c r="N135" s="60">
        <v>128.91386</v>
      </c>
    </row>
    <row r="136" spans="1:14" x14ac:dyDescent="0.2">
      <c r="A136" s="16" t="s">
        <v>4274</v>
      </c>
      <c r="B136" s="16" t="s">
        <v>4279</v>
      </c>
      <c r="C136" s="55">
        <v>3.6709999999999998</v>
      </c>
      <c r="D136" s="29">
        <v>6.9444444444444441E-3</v>
      </c>
      <c r="E136" s="56">
        <v>37.785510000000002</v>
      </c>
      <c r="F136" s="56">
        <v>128.89099999999999</v>
      </c>
      <c r="G136" s="56">
        <v>37.785820000000001</v>
      </c>
      <c r="H136" s="56">
        <v>128.89348000000001</v>
      </c>
      <c r="I136" s="56">
        <v>37.781289999999998</v>
      </c>
      <c r="J136" s="56">
        <v>128.89418000000001</v>
      </c>
      <c r="K136" s="56">
        <v>37.781509999999997</v>
      </c>
      <c r="L136" s="56">
        <v>128.89594</v>
      </c>
      <c r="M136" s="56">
        <v>37.784280000000003</v>
      </c>
      <c r="N136" s="56">
        <v>128.90369000000001</v>
      </c>
    </row>
    <row r="137" spans="1:14" x14ac:dyDescent="0.2">
      <c r="A137" s="16" t="s">
        <v>4274</v>
      </c>
      <c r="B137" s="16" t="s">
        <v>4280</v>
      </c>
      <c r="C137" s="59">
        <v>3.6619999999999999</v>
      </c>
      <c r="D137" s="28">
        <v>3.472222222222222E-3</v>
      </c>
      <c r="E137" s="60">
        <v>37.785699999999999</v>
      </c>
      <c r="F137" s="60">
        <v>128.88976</v>
      </c>
      <c r="G137" s="60">
        <v>37.78613</v>
      </c>
      <c r="H137" s="60">
        <v>128.89206999999999</v>
      </c>
      <c r="I137" s="60">
        <v>37.789830000000002</v>
      </c>
      <c r="J137" s="60">
        <v>128.89492000000001</v>
      </c>
      <c r="K137" s="60">
        <v>37.797809999999998</v>
      </c>
      <c r="L137" s="60">
        <v>128.89821000000001</v>
      </c>
      <c r="M137" s="60">
        <v>37.802439999999997</v>
      </c>
      <c r="N137" s="60">
        <v>128.90428</v>
      </c>
    </row>
    <row r="138" spans="1:14" x14ac:dyDescent="0.2">
      <c r="A138" s="16" t="s">
        <v>4275</v>
      </c>
      <c r="B138" s="16" t="s">
        <v>527</v>
      </c>
      <c r="C138" s="55">
        <v>3.5259999999999998</v>
      </c>
      <c r="D138" s="29">
        <v>4.8611111111111112E-3</v>
      </c>
      <c r="E138" s="56">
        <v>37.77711</v>
      </c>
      <c r="F138" s="56">
        <v>128.88627</v>
      </c>
      <c r="G138" s="56">
        <v>37.770380000000003</v>
      </c>
      <c r="H138" s="56">
        <v>128.89177000000001</v>
      </c>
      <c r="I138" s="56">
        <v>37.766539999999999</v>
      </c>
      <c r="J138" s="56">
        <v>128.89139</v>
      </c>
      <c r="K138" s="56">
        <v>37.765909999999998</v>
      </c>
      <c r="L138" s="56">
        <v>128.89715000000001</v>
      </c>
      <c r="M138" s="56">
        <v>37.762799999999999</v>
      </c>
      <c r="N138" s="56">
        <v>128.90043</v>
      </c>
    </row>
    <row r="139" spans="1:14" x14ac:dyDescent="0.2">
      <c r="A139" s="16" t="s">
        <v>4275</v>
      </c>
      <c r="B139" s="16" t="s">
        <v>4267</v>
      </c>
      <c r="C139" s="59">
        <v>4.0490000000000004</v>
      </c>
      <c r="D139" s="28">
        <v>4.1666666666666666E-3</v>
      </c>
      <c r="E139" s="60">
        <v>37.777700000000003</v>
      </c>
      <c r="F139" s="60">
        <v>128.88560000000001</v>
      </c>
      <c r="G139" s="60">
        <v>37.780889999999999</v>
      </c>
      <c r="H139" s="60">
        <v>128.89472000000001</v>
      </c>
      <c r="I139" s="60">
        <v>37.782290000000003</v>
      </c>
      <c r="J139" s="60">
        <v>128.89977999999999</v>
      </c>
      <c r="K139" s="60">
        <v>37.786050000000003</v>
      </c>
      <c r="L139" s="60">
        <v>128.90548999999999</v>
      </c>
      <c r="M139" s="60">
        <v>37.790730000000003</v>
      </c>
      <c r="N139" s="60">
        <v>128.91092</v>
      </c>
    </row>
    <row r="140" spans="1:14" x14ac:dyDescent="0.2">
      <c r="A140" s="16" t="s">
        <v>4275</v>
      </c>
      <c r="B140" s="16" t="s">
        <v>4268</v>
      </c>
      <c r="C140" s="55">
        <v>3.1880000000000002</v>
      </c>
      <c r="D140" s="29">
        <v>3.472222222222222E-3</v>
      </c>
      <c r="E140" s="56">
        <v>37.778390000000002</v>
      </c>
      <c r="F140" s="56">
        <v>128.88480000000001</v>
      </c>
      <c r="G140" s="56">
        <v>37.780050000000003</v>
      </c>
      <c r="H140" s="56">
        <v>128.89160000000001</v>
      </c>
      <c r="I140" s="56">
        <v>37.780999999999999</v>
      </c>
      <c r="J140" s="56">
        <v>128.89487</v>
      </c>
      <c r="K140" s="56">
        <v>37.782290000000003</v>
      </c>
      <c r="L140" s="56">
        <v>128.89977999999999</v>
      </c>
      <c r="M140" s="56">
        <v>37.784559999999999</v>
      </c>
      <c r="N140" s="56">
        <v>128.90384</v>
      </c>
    </row>
    <row r="141" spans="1:14" x14ac:dyDescent="0.2">
      <c r="A141" s="16" t="s">
        <v>4275</v>
      </c>
      <c r="B141" s="16" t="s">
        <v>4269</v>
      </c>
      <c r="C141" s="59">
        <v>1.9530000000000001</v>
      </c>
      <c r="D141" s="28">
        <v>2.7777777777777779E-3</v>
      </c>
      <c r="E141" s="60">
        <v>37.779620000000001</v>
      </c>
      <c r="F141" s="60">
        <v>128.88324</v>
      </c>
      <c r="G141" s="60">
        <v>37.777700000000003</v>
      </c>
      <c r="H141" s="60">
        <v>128.88560000000001</v>
      </c>
      <c r="I141" s="60">
        <v>37.780050000000003</v>
      </c>
      <c r="J141" s="60">
        <v>128.89160000000001</v>
      </c>
      <c r="K141" s="60">
        <v>37.780889999999999</v>
      </c>
      <c r="L141" s="60">
        <v>128.89472000000001</v>
      </c>
      <c r="M141" s="60">
        <v>37.778959999999998</v>
      </c>
      <c r="N141" s="60">
        <v>128.89580000000001</v>
      </c>
    </row>
    <row r="142" spans="1:14" x14ac:dyDescent="0.2">
      <c r="A142" s="16" t="s">
        <v>4275</v>
      </c>
      <c r="B142" s="16" t="s">
        <v>4270</v>
      </c>
      <c r="C142" s="55">
        <v>4.8220000000000001</v>
      </c>
      <c r="D142" s="29">
        <v>4.8611111111111112E-3</v>
      </c>
      <c r="E142" s="56">
        <v>37.777700000000003</v>
      </c>
      <c r="F142" s="56">
        <v>128.88560000000001</v>
      </c>
      <c r="G142" s="56">
        <v>37.783099999999997</v>
      </c>
      <c r="H142" s="56">
        <v>128.88986</v>
      </c>
      <c r="I142" s="56">
        <v>37.785820000000001</v>
      </c>
      <c r="J142" s="56">
        <v>128.89348000000001</v>
      </c>
      <c r="K142" s="56">
        <v>37.796979999999998</v>
      </c>
      <c r="L142" s="56">
        <v>128.89762999999999</v>
      </c>
      <c r="M142" s="56">
        <v>37.803240000000002</v>
      </c>
      <c r="N142" s="56">
        <v>128.90493000000001</v>
      </c>
    </row>
    <row r="143" spans="1:14" x14ac:dyDescent="0.2">
      <c r="A143" s="16" t="s">
        <v>4275</v>
      </c>
      <c r="B143" s="16" t="s">
        <v>4271</v>
      </c>
      <c r="C143" s="59">
        <v>3.73</v>
      </c>
      <c r="D143" s="28">
        <v>3.472222222222222E-3</v>
      </c>
      <c r="E143" s="60">
        <v>37.778390000000002</v>
      </c>
      <c r="F143" s="60">
        <v>128.88480000000001</v>
      </c>
      <c r="G143" s="60">
        <v>37.780239999999999</v>
      </c>
      <c r="H143" s="60">
        <v>128.88729000000001</v>
      </c>
      <c r="I143" s="60">
        <v>37.783619999999999</v>
      </c>
      <c r="J143" s="60">
        <v>128.89071999999999</v>
      </c>
      <c r="K143" s="60">
        <v>37.785820000000001</v>
      </c>
      <c r="L143" s="60">
        <v>128.89348000000001</v>
      </c>
      <c r="M143" s="60">
        <v>37.793599999999998</v>
      </c>
      <c r="N143" s="60">
        <v>128.89658</v>
      </c>
    </row>
    <row r="144" spans="1:14" x14ac:dyDescent="0.2">
      <c r="A144" s="16" t="s">
        <v>4275</v>
      </c>
      <c r="B144" s="16" t="s">
        <v>4272</v>
      </c>
      <c r="C144" s="55">
        <v>2.8410000000000002</v>
      </c>
      <c r="D144" s="29">
        <v>2.7777777777777779E-3</v>
      </c>
      <c r="E144" s="56">
        <v>37.77899</v>
      </c>
      <c r="F144" s="56">
        <v>128.88404</v>
      </c>
      <c r="G144" s="56">
        <v>37.779209999999999</v>
      </c>
      <c r="H144" s="56">
        <v>128.88657000000001</v>
      </c>
      <c r="I144" s="56">
        <v>37.781869999999998</v>
      </c>
      <c r="J144" s="56">
        <v>128.88934</v>
      </c>
      <c r="K144" s="56">
        <v>37.783940000000001</v>
      </c>
      <c r="L144" s="56">
        <v>128.89167</v>
      </c>
      <c r="M144" s="56">
        <v>37.785820000000001</v>
      </c>
      <c r="N144" s="56">
        <v>128.89348000000001</v>
      </c>
    </row>
    <row r="145" spans="1:14" x14ac:dyDescent="0.2">
      <c r="A145" s="16" t="s">
        <v>4275</v>
      </c>
      <c r="B145" s="16" t="s">
        <v>4273</v>
      </c>
      <c r="C145" s="59">
        <v>3.2069999999999999</v>
      </c>
      <c r="D145" s="28">
        <v>3.472222222222222E-3</v>
      </c>
      <c r="E145" s="60">
        <v>37.778590000000001</v>
      </c>
      <c r="F145" s="60">
        <v>128.88454999999999</v>
      </c>
      <c r="G145" s="60">
        <v>37.779640000000001</v>
      </c>
      <c r="H145" s="60">
        <v>128.88685000000001</v>
      </c>
      <c r="I145" s="60">
        <v>37.783079999999998</v>
      </c>
      <c r="J145" s="60">
        <v>128.88983999999999</v>
      </c>
      <c r="K145" s="60">
        <v>37.784439999999996</v>
      </c>
      <c r="L145" s="60">
        <v>128.89277000000001</v>
      </c>
      <c r="M145" s="60">
        <v>37.78669</v>
      </c>
      <c r="N145" s="60">
        <v>128.89361</v>
      </c>
    </row>
    <row r="146" spans="1:14" x14ac:dyDescent="0.2">
      <c r="A146" s="16" t="s">
        <v>4275</v>
      </c>
      <c r="B146" s="16" t="s">
        <v>4274</v>
      </c>
      <c r="C146" s="55">
        <v>1.038</v>
      </c>
      <c r="D146" s="29">
        <v>1.3888888888888889E-3</v>
      </c>
      <c r="E146" s="56">
        <v>37.780290000000001</v>
      </c>
      <c r="F146" s="56">
        <v>128.88240999999999</v>
      </c>
      <c r="G146" s="56">
        <v>37.782850000000003</v>
      </c>
      <c r="H146" s="56">
        <v>128.87996999999999</v>
      </c>
      <c r="I146" s="56">
        <v>37.784170000000003</v>
      </c>
      <c r="J146" s="56">
        <v>128.88061999999999</v>
      </c>
      <c r="K146" s="56">
        <v>37.784230000000001</v>
      </c>
      <c r="L146" s="56">
        <v>128.88122000000001</v>
      </c>
      <c r="M146" s="56">
        <v>37.78398</v>
      </c>
      <c r="N146" s="56">
        <v>128.88212999999999</v>
      </c>
    </row>
    <row r="147" spans="1:14" x14ac:dyDescent="0.2">
      <c r="A147" s="16" t="s">
        <v>4275</v>
      </c>
      <c r="B147" s="16" t="s">
        <v>4275</v>
      </c>
      <c r="C147" s="59">
        <v>0</v>
      </c>
      <c r="D147" s="28">
        <v>0</v>
      </c>
      <c r="E147" s="60">
        <f>'1.Locations'!D11</f>
        <v>37.779550453964099</v>
      </c>
      <c r="F147" s="60">
        <f>'1.Locations'!E11</f>
        <v>128.880935334897</v>
      </c>
      <c r="G147" s="60">
        <f>'1.Locations'!D11</f>
        <v>37.779550453964099</v>
      </c>
      <c r="H147" s="60">
        <f>'1.Locations'!E11</f>
        <v>128.880935334897</v>
      </c>
      <c r="I147" s="60">
        <f>'1.Locations'!D11</f>
        <v>37.779550453964099</v>
      </c>
      <c r="J147" s="60">
        <f>'1.Locations'!E11</f>
        <v>128.880935334897</v>
      </c>
      <c r="K147" s="60">
        <f>'1.Locations'!D11</f>
        <v>37.779550453964099</v>
      </c>
      <c r="L147" s="60">
        <f>'1.Locations'!E11</f>
        <v>128.880935334897</v>
      </c>
      <c r="M147" s="60">
        <f>'1.Locations'!D11</f>
        <v>37.779550453964099</v>
      </c>
      <c r="N147" s="60">
        <f>'1.Locations'!E11</f>
        <v>128.880935334897</v>
      </c>
    </row>
    <row r="148" spans="1:14" x14ac:dyDescent="0.2">
      <c r="A148" s="16" t="s">
        <v>4275</v>
      </c>
      <c r="B148" s="16" t="s">
        <v>4276</v>
      </c>
      <c r="C148" s="55">
        <v>7.6379999999999999</v>
      </c>
      <c r="D148" s="29">
        <v>8.3333333333333332E-3</v>
      </c>
      <c r="E148" s="56">
        <v>37.779829999999997</v>
      </c>
      <c r="F148" s="56">
        <v>128.89087000000001</v>
      </c>
      <c r="G148" s="56">
        <v>37.782290000000003</v>
      </c>
      <c r="H148" s="56">
        <v>128.89931000000001</v>
      </c>
      <c r="I148" s="56">
        <v>37.787309999999998</v>
      </c>
      <c r="J148" s="56">
        <v>128.90769</v>
      </c>
      <c r="K148" s="56">
        <v>37.793129999999998</v>
      </c>
      <c r="L148" s="56">
        <v>128.91418999999999</v>
      </c>
      <c r="M148" s="56">
        <v>37.78669</v>
      </c>
      <c r="N148" s="56">
        <v>128.9237</v>
      </c>
    </row>
    <row r="149" spans="1:14" x14ac:dyDescent="0.2">
      <c r="A149" s="16" t="s">
        <v>4275</v>
      </c>
      <c r="B149" s="16" t="s">
        <v>4277</v>
      </c>
      <c r="C149" s="59">
        <v>6.9279999999999999</v>
      </c>
      <c r="D149" s="28">
        <v>7.6388888888888886E-3</v>
      </c>
      <c r="E149" s="60">
        <v>37.779629999999997</v>
      </c>
      <c r="F149" s="60">
        <v>128.89025000000001</v>
      </c>
      <c r="G149" s="60">
        <v>37.78219</v>
      </c>
      <c r="H149" s="60">
        <v>128.89839000000001</v>
      </c>
      <c r="I149" s="60">
        <v>37.786630000000002</v>
      </c>
      <c r="J149" s="60">
        <v>128.90694999999999</v>
      </c>
      <c r="K149" s="60">
        <v>37.792459999999998</v>
      </c>
      <c r="L149" s="60">
        <v>128.91356999999999</v>
      </c>
      <c r="M149" s="60">
        <v>37.78669</v>
      </c>
      <c r="N149" s="60">
        <v>128.92346000000001</v>
      </c>
    </row>
    <row r="150" spans="1:14" x14ac:dyDescent="0.2">
      <c r="A150" s="16" t="s">
        <v>4275</v>
      </c>
      <c r="B150" s="16" t="s">
        <v>4278</v>
      </c>
      <c r="C150" s="55">
        <v>4.8159999999999998</v>
      </c>
      <c r="D150" s="29">
        <v>5.5555555555555558E-3</v>
      </c>
      <c r="E150" s="56">
        <v>37.778179999999999</v>
      </c>
      <c r="F150" s="56">
        <v>128.88636</v>
      </c>
      <c r="G150" s="56">
        <v>37.781100000000002</v>
      </c>
      <c r="H150" s="56">
        <v>128.89484999999999</v>
      </c>
      <c r="I150" s="56">
        <v>37.784149999999997</v>
      </c>
      <c r="J150" s="56">
        <v>128.90361999999999</v>
      </c>
      <c r="K150" s="56">
        <v>37.790080000000003</v>
      </c>
      <c r="L150" s="56">
        <v>128.91005999999999</v>
      </c>
      <c r="M150" s="56">
        <v>37.794780000000003</v>
      </c>
      <c r="N150" s="56">
        <v>128.91575</v>
      </c>
    </row>
    <row r="151" spans="1:14" x14ac:dyDescent="0.2">
      <c r="A151" s="16" t="s">
        <v>4275</v>
      </c>
      <c r="B151" s="16" t="s">
        <v>4279</v>
      </c>
      <c r="C151" s="59">
        <v>3.4239999999999999</v>
      </c>
      <c r="D151" s="28">
        <v>6.9444444444444441E-3</v>
      </c>
      <c r="E151" s="60">
        <v>37.778309999999998</v>
      </c>
      <c r="F151" s="60">
        <v>128.88489000000001</v>
      </c>
      <c r="G151" s="60">
        <v>37.780209999999997</v>
      </c>
      <c r="H151" s="60">
        <v>128.8921</v>
      </c>
      <c r="I151" s="60">
        <v>37.781100000000002</v>
      </c>
      <c r="J151" s="60">
        <v>128.89484999999999</v>
      </c>
      <c r="K151" s="60">
        <v>37.782980000000002</v>
      </c>
      <c r="L151" s="60">
        <v>128.90186</v>
      </c>
      <c r="M151" s="60">
        <v>37.786050000000003</v>
      </c>
      <c r="N151" s="60">
        <v>128.90548999999999</v>
      </c>
    </row>
    <row r="152" spans="1:14" x14ac:dyDescent="0.2">
      <c r="A152" s="16" t="s">
        <v>4275</v>
      </c>
      <c r="B152" s="16" t="s">
        <v>4280</v>
      </c>
      <c r="C152" s="55">
        <v>4.5810000000000004</v>
      </c>
      <c r="D152" s="29">
        <v>4.1666666666666666E-3</v>
      </c>
      <c r="E152" s="56">
        <v>37.777720000000002</v>
      </c>
      <c r="F152" s="56">
        <v>128.88557</v>
      </c>
      <c r="G152" s="56">
        <v>37.782919999999997</v>
      </c>
      <c r="H152" s="56">
        <v>128.88974999999999</v>
      </c>
      <c r="I152" s="56">
        <v>37.785420000000002</v>
      </c>
      <c r="J152" s="56">
        <v>128.89345</v>
      </c>
      <c r="K152" s="56">
        <v>37.793779999999998</v>
      </c>
      <c r="L152" s="56">
        <v>128.89662000000001</v>
      </c>
      <c r="M152" s="56">
        <v>37.801600000000001</v>
      </c>
      <c r="N152" s="56">
        <v>128.90351000000001</v>
      </c>
    </row>
    <row r="153" spans="1:14" x14ac:dyDescent="0.2">
      <c r="A153" s="16" t="s">
        <v>4276</v>
      </c>
      <c r="B153" s="16" t="s">
        <v>527</v>
      </c>
      <c r="C153" s="59">
        <v>5.35</v>
      </c>
      <c r="D153" s="28">
        <v>6.9444444444444441E-3</v>
      </c>
      <c r="E153" s="60">
        <v>37.772599999999997</v>
      </c>
      <c r="F153" s="60">
        <v>128.94598999999999</v>
      </c>
      <c r="G153" s="60">
        <v>37.769500000000001</v>
      </c>
      <c r="H153" s="60">
        <v>128.94369</v>
      </c>
      <c r="I153" s="60">
        <v>37.769350000000003</v>
      </c>
      <c r="J153" s="60">
        <v>128.9288</v>
      </c>
      <c r="K153" s="60">
        <v>37.764150000000001</v>
      </c>
      <c r="L153" s="60">
        <v>128.91406000000001</v>
      </c>
      <c r="M153" s="60">
        <v>37.76728</v>
      </c>
      <c r="N153" s="60">
        <v>128.90969000000001</v>
      </c>
    </row>
    <row r="154" spans="1:14" x14ac:dyDescent="0.2">
      <c r="A154" s="16" t="s">
        <v>4276</v>
      </c>
      <c r="B154" s="16" t="s">
        <v>4267</v>
      </c>
      <c r="C154" s="55">
        <v>3.6520000000000001</v>
      </c>
      <c r="D154" s="29">
        <v>4.1666666666666666E-3</v>
      </c>
      <c r="E154" s="56">
        <v>37.777760000000001</v>
      </c>
      <c r="F154" s="56">
        <v>128.93933000000001</v>
      </c>
      <c r="G154" s="56">
        <v>37.779359999999997</v>
      </c>
      <c r="H154" s="56">
        <v>128.93394000000001</v>
      </c>
      <c r="I154" s="56">
        <v>37.782890000000002</v>
      </c>
      <c r="J154" s="56">
        <v>128.93035</v>
      </c>
      <c r="K154" s="56">
        <v>37.78689</v>
      </c>
      <c r="L154" s="56">
        <v>128.92375000000001</v>
      </c>
      <c r="M154" s="56">
        <v>37.791609999999999</v>
      </c>
      <c r="N154" s="56">
        <v>128.91934000000001</v>
      </c>
    </row>
    <row r="155" spans="1:14" x14ac:dyDescent="0.2">
      <c r="A155" s="16" t="s">
        <v>4276</v>
      </c>
      <c r="B155" s="16" t="s">
        <v>4268</v>
      </c>
      <c r="C155" s="59">
        <v>4.3390000000000004</v>
      </c>
      <c r="D155" s="28">
        <v>4.8611111111111112E-3</v>
      </c>
      <c r="E155" s="60">
        <v>37.777509999999999</v>
      </c>
      <c r="F155" s="60">
        <v>128.93876</v>
      </c>
      <c r="G155" s="60">
        <v>37.782119999999999</v>
      </c>
      <c r="H155" s="60">
        <v>128.93108000000001</v>
      </c>
      <c r="I155" s="60">
        <v>37.78678</v>
      </c>
      <c r="J155" s="60">
        <v>128.92376999999999</v>
      </c>
      <c r="K155" s="60">
        <v>37.792819999999999</v>
      </c>
      <c r="L155" s="60">
        <v>128.91827000000001</v>
      </c>
      <c r="M155" s="60">
        <v>37.792969999999997</v>
      </c>
      <c r="N155" s="60">
        <v>128.91404</v>
      </c>
    </row>
    <row r="156" spans="1:14" x14ac:dyDescent="0.2">
      <c r="A156" s="16" t="s">
        <v>4276</v>
      </c>
      <c r="B156" s="16" t="s">
        <v>4269</v>
      </c>
      <c r="C156" s="55">
        <v>6.62</v>
      </c>
      <c r="D156" s="29">
        <v>7.6388888888888886E-3</v>
      </c>
      <c r="E156" s="56">
        <v>37.782339999999998</v>
      </c>
      <c r="F156" s="56">
        <v>128.93089000000001</v>
      </c>
      <c r="G156" s="56">
        <v>37.79327</v>
      </c>
      <c r="H156" s="56">
        <v>128.91785999999999</v>
      </c>
      <c r="I156" s="56">
        <v>37.790469999999999</v>
      </c>
      <c r="J156" s="56">
        <v>128.91048000000001</v>
      </c>
      <c r="K156" s="56">
        <v>37.783619999999999</v>
      </c>
      <c r="L156" s="56">
        <v>128.90289000000001</v>
      </c>
      <c r="M156" s="56">
        <v>37.78107</v>
      </c>
      <c r="N156" s="56">
        <v>128.89451</v>
      </c>
    </row>
    <row r="157" spans="1:14" x14ac:dyDescent="0.2">
      <c r="A157" s="16" t="s">
        <v>4276</v>
      </c>
      <c r="B157" s="16" t="s">
        <v>4270</v>
      </c>
      <c r="C157" s="59">
        <v>4.3739999999999997</v>
      </c>
      <c r="D157" s="28">
        <v>4.8611111111111112E-3</v>
      </c>
      <c r="E157" s="60">
        <v>37.777509999999999</v>
      </c>
      <c r="F157" s="60">
        <v>128.93876</v>
      </c>
      <c r="G157" s="60">
        <v>37.782119999999999</v>
      </c>
      <c r="H157" s="60">
        <v>128.93108000000001</v>
      </c>
      <c r="I157" s="60">
        <v>37.78678</v>
      </c>
      <c r="J157" s="60">
        <v>128.92376999999999</v>
      </c>
      <c r="K157" s="60">
        <v>37.792819999999999</v>
      </c>
      <c r="L157" s="60">
        <v>128.91827000000001</v>
      </c>
      <c r="M157" s="60">
        <v>37.79589</v>
      </c>
      <c r="N157" s="60">
        <v>128.91283000000001</v>
      </c>
    </row>
    <row r="158" spans="1:14" x14ac:dyDescent="0.2">
      <c r="A158" s="16" t="s">
        <v>4276</v>
      </c>
      <c r="B158" s="16" t="s">
        <v>4271</v>
      </c>
      <c r="C158" s="55">
        <v>5.5339999999999998</v>
      </c>
      <c r="D158" s="29">
        <v>6.2499999999999995E-3</v>
      </c>
      <c r="E158" s="56">
        <v>37.778410000000001</v>
      </c>
      <c r="F158" s="56">
        <v>128.93624</v>
      </c>
      <c r="G158" s="56">
        <v>37.786340000000003</v>
      </c>
      <c r="H158" s="56">
        <v>128.92415</v>
      </c>
      <c r="I158" s="56">
        <v>37.792969999999997</v>
      </c>
      <c r="J158" s="56">
        <v>128.91812999999999</v>
      </c>
      <c r="K158" s="56">
        <v>37.796610000000001</v>
      </c>
      <c r="L158" s="56">
        <v>128.91220000000001</v>
      </c>
      <c r="M158" s="56">
        <v>37.802990000000001</v>
      </c>
      <c r="N158" s="56">
        <v>128.90897000000001</v>
      </c>
    </row>
    <row r="159" spans="1:14" x14ac:dyDescent="0.2">
      <c r="A159" s="16" t="s">
        <v>4276</v>
      </c>
      <c r="B159" s="16" t="s">
        <v>4272</v>
      </c>
      <c r="C159" s="59">
        <v>6.423</v>
      </c>
      <c r="D159" s="28">
        <v>6.9444444444444441E-3</v>
      </c>
      <c r="E159" s="60">
        <v>37.779359999999997</v>
      </c>
      <c r="F159" s="60">
        <v>128.93394000000001</v>
      </c>
      <c r="G159" s="60">
        <v>37.78689</v>
      </c>
      <c r="H159" s="60">
        <v>128.92375000000001</v>
      </c>
      <c r="I159" s="60">
        <v>37.795499999999997</v>
      </c>
      <c r="J159" s="60">
        <v>128.91356999999999</v>
      </c>
      <c r="K159" s="60">
        <v>37.799720000000001</v>
      </c>
      <c r="L159" s="60">
        <v>128.91144</v>
      </c>
      <c r="M159" s="60">
        <v>37.80415</v>
      </c>
      <c r="N159" s="60">
        <v>128.90517</v>
      </c>
    </row>
    <row r="160" spans="1:14" x14ac:dyDescent="0.2">
      <c r="A160" s="16" t="s">
        <v>4276</v>
      </c>
      <c r="B160" s="16" t="s">
        <v>4273</v>
      </c>
      <c r="C160" s="55">
        <v>6.0570000000000004</v>
      </c>
      <c r="D160" s="29">
        <v>6.9444444444444441E-3</v>
      </c>
      <c r="E160" s="56">
        <v>37.778779999999998</v>
      </c>
      <c r="F160" s="56">
        <v>128.93532999999999</v>
      </c>
      <c r="G160" s="56">
        <v>37.78678</v>
      </c>
      <c r="H160" s="56">
        <v>128.92376999999999</v>
      </c>
      <c r="I160" s="56">
        <v>37.794110000000003</v>
      </c>
      <c r="J160" s="56">
        <v>128.91654</v>
      </c>
      <c r="K160" s="56">
        <v>37.797910000000002</v>
      </c>
      <c r="L160" s="56">
        <v>128.91184999999999</v>
      </c>
      <c r="M160" s="56">
        <v>37.804600000000001</v>
      </c>
      <c r="N160" s="56">
        <v>128.90593999999999</v>
      </c>
    </row>
    <row r="161" spans="1:14" x14ac:dyDescent="0.2">
      <c r="A161" s="16" t="s">
        <v>4276</v>
      </c>
      <c r="B161" s="16" t="s">
        <v>4274</v>
      </c>
      <c r="C161" s="59">
        <v>8.3309999999999995</v>
      </c>
      <c r="D161" s="28">
        <v>8.3333333333333332E-3</v>
      </c>
      <c r="E161" s="60">
        <v>37.782339999999998</v>
      </c>
      <c r="F161" s="60">
        <v>128.93089000000001</v>
      </c>
      <c r="G161" s="60">
        <v>37.79327</v>
      </c>
      <c r="H161" s="60">
        <v>128.91785999999999</v>
      </c>
      <c r="I161" s="60">
        <v>37.799570000000003</v>
      </c>
      <c r="J161" s="60">
        <v>128.91148000000001</v>
      </c>
      <c r="K161" s="60">
        <v>37.801549999999999</v>
      </c>
      <c r="L161" s="60">
        <v>128.90346</v>
      </c>
      <c r="M161" s="60">
        <v>37.786799999999999</v>
      </c>
      <c r="N161" s="60">
        <v>128.89340000000001</v>
      </c>
    </row>
    <row r="162" spans="1:14" x14ac:dyDescent="0.2">
      <c r="A162" s="16" t="s">
        <v>4276</v>
      </c>
      <c r="B162" s="16" t="s">
        <v>4275</v>
      </c>
      <c r="C162" s="55">
        <v>7.617</v>
      </c>
      <c r="D162" s="29">
        <v>8.3333333333333332E-3</v>
      </c>
      <c r="E162" s="56">
        <v>37.771000000000001</v>
      </c>
      <c r="F162" s="56">
        <v>128.94370000000001</v>
      </c>
      <c r="G162" s="56">
        <v>37.76596</v>
      </c>
      <c r="H162" s="56">
        <v>128.91865000000001</v>
      </c>
      <c r="I162" s="56">
        <v>37.768740000000001</v>
      </c>
      <c r="J162" s="56">
        <v>128.90782999999999</v>
      </c>
      <c r="K162" s="56">
        <v>37.770890000000001</v>
      </c>
      <c r="L162" s="56">
        <v>128.89818</v>
      </c>
      <c r="M162" s="56">
        <v>37.773609999999998</v>
      </c>
      <c r="N162" s="56">
        <v>128.88927000000001</v>
      </c>
    </row>
    <row r="163" spans="1:14" x14ac:dyDescent="0.2">
      <c r="A163" s="16" t="s">
        <v>4276</v>
      </c>
      <c r="B163" s="16" t="s">
        <v>4276</v>
      </c>
      <c r="C163" s="59">
        <v>0</v>
      </c>
      <c r="D163" s="28">
        <v>0</v>
      </c>
      <c r="E163" s="60">
        <f>'1.Locations'!D12</f>
        <v>37.774542716914397</v>
      </c>
      <c r="F163" s="60">
        <f>'1.Locations'!E12</f>
        <v>128.94464175024299</v>
      </c>
      <c r="G163" s="60">
        <f>'1.Locations'!D12</f>
        <v>37.774542716914397</v>
      </c>
      <c r="H163" s="60">
        <f>'1.Locations'!E12</f>
        <v>128.94464175024299</v>
      </c>
      <c r="I163" s="60">
        <f>'1.Locations'!D12</f>
        <v>37.774542716914397</v>
      </c>
      <c r="J163" s="60">
        <f>'1.Locations'!E12</f>
        <v>128.94464175024299</v>
      </c>
      <c r="K163" s="60">
        <f>'1.Locations'!D12</f>
        <v>37.774542716914397</v>
      </c>
      <c r="L163" s="60">
        <f>'1.Locations'!E12</f>
        <v>128.94464175024299</v>
      </c>
      <c r="M163" s="60">
        <f>'1.Locations'!D12</f>
        <v>37.774542716914397</v>
      </c>
      <c r="N163" s="60">
        <f>'1.Locations'!E12</f>
        <v>128.94464175024299</v>
      </c>
    </row>
    <row r="164" spans="1:14" x14ac:dyDescent="0.2">
      <c r="A164" s="16" t="s">
        <v>4276</v>
      </c>
      <c r="B164" s="16" t="s">
        <v>4277</v>
      </c>
      <c r="C164" s="55">
        <v>0.71</v>
      </c>
      <c r="D164" s="29">
        <v>6.9444444444444447E-4</v>
      </c>
      <c r="E164" s="56">
        <v>37.774459999999998</v>
      </c>
      <c r="F164" s="56">
        <v>128.94454999999999</v>
      </c>
      <c r="G164" s="56">
        <v>37.776380000000003</v>
      </c>
      <c r="H164" s="56">
        <v>128.94193999999999</v>
      </c>
      <c r="I164" s="56">
        <v>37.77693</v>
      </c>
      <c r="J164" s="56">
        <v>128.94117</v>
      </c>
      <c r="K164" s="56">
        <v>37.777439999999999</v>
      </c>
      <c r="L164" s="56">
        <v>128.94049000000001</v>
      </c>
      <c r="M164" s="56">
        <v>37.777479999999997</v>
      </c>
      <c r="N164" s="56">
        <v>128.94042999999999</v>
      </c>
    </row>
    <row r="165" spans="1:14" x14ac:dyDescent="0.2">
      <c r="A165" s="16" t="s">
        <v>4276</v>
      </c>
      <c r="B165" s="16" t="s">
        <v>4278</v>
      </c>
      <c r="C165" s="59">
        <v>2.7360000000000002</v>
      </c>
      <c r="D165" s="28">
        <v>3.472222222222222E-3</v>
      </c>
      <c r="E165" s="60">
        <v>37.778030000000001</v>
      </c>
      <c r="F165" s="60">
        <v>128.93975</v>
      </c>
      <c r="G165" s="60">
        <v>37.781019999999998</v>
      </c>
      <c r="H165" s="60">
        <v>128.93555000000001</v>
      </c>
      <c r="I165" s="60">
        <v>37.782200000000003</v>
      </c>
      <c r="J165" s="60">
        <v>128.93374</v>
      </c>
      <c r="K165" s="60">
        <v>37.786749999999998</v>
      </c>
      <c r="L165" s="60">
        <v>128.92805000000001</v>
      </c>
      <c r="M165" s="60">
        <v>37.787329999999997</v>
      </c>
      <c r="N165" s="60">
        <v>128.92666</v>
      </c>
    </row>
    <row r="166" spans="1:14" x14ac:dyDescent="0.2">
      <c r="A166" s="16" t="s">
        <v>4276</v>
      </c>
      <c r="B166" s="16" t="s">
        <v>4279</v>
      </c>
      <c r="C166" s="55">
        <v>5.3330000000000002</v>
      </c>
      <c r="D166" s="29">
        <v>6.9444444444444441E-3</v>
      </c>
      <c r="E166" s="56">
        <v>37.778089999999999</v>
      </c>
      <c r="F166" s="56">
        <v>128.93700000000001</v>
      </c>
      <c r="G166" s="56">
        <v>37.785110000000003</v>
      </c>
      <c r="H166" s="56">
        <v>128.92637999999999</v>
      </c>
      <c r="I166" s="56">
        <v>37.790059999999997</v>
      </c>
      <c r="J166" s="56">
        <v>128.92071999999999</v>
      </c>
      <c r="K166" s="56">
        <v>37.792459999999998</v>
      </c>
      <c r="L166" s="56">
        <v>128.91356999999999</v>
      </c>
      <c r="M166" s="56">
        <v>37.789380000000001</v>
      </c>
      <c r="N166" s="56">
        <v>128.90932000000001</v>
      </c>
    </row>
    <row r="167" spans="1:14" x14ac:dyDescent="0.2">
      <c r="A167" s="16" t="s">
        <v>4276</v>
      </c>
      <c r="B167" s="16" t="s">
        <v>4280</v>
      </c>
      <c r="C167" s="59">
        <v>4.6150000000000002</v>
      </c>
      <c r="D167" s="28">
        <v>4.8611111111111112E-3</v>
      </c>
      <c r="E167" s="60">
        <v>37.777419999999999</v>
      </c>
      <c r="F167" s="60">
        <v>128.93865</v>
      </c>
      <c r="G167" s="60">
        <v>37.782470000000004</v>
      </c>
      <c r="H167" s="60">
        <v>128.93078</v>
      </c>
      <c r="I167" s="60">
        <v>37.786920000000002</v>
      </c>
      <c r="J167" s="60">
        <v>128.92372</v>
      </c>
      <c r="K167" s="60">
        <v>37.793660000000003</v>
      </c>
      <c r="L167" s="60">
        <v>128.91740999999999</v>
      </c>
      <c r="M167" s="60">
        <v>37.796489999999999</v>
      </c>
      <c r="N167" s="60">
        <v>128.91225</v>
      </c>
    </row>
    <row r="168" spans="1:14" x14ac:dyDescent="0.2">
      <c r="A168" s="16" t="s">
        <v>4277</v>
      </c>
      <c r="B168" s="16" t="s">
        <v>527</v>
      </c>
      <c r="C168" s="55">
        <v>5.117</v>
      </c>
      <c r="D168" s="29">
        <v>6.2499999999999995E-3</v>
      </c>
      <c r="E168" s="56">
        <v>37.785290000000003</v>
      </c>
      <c r="F168" s="56">
        <v>128.9298</v>
      </c>
      <c r="G168" s="56">
        <v>37.786960000000001</v>
      </c>
      <c r="H168" s="56">
        <v>128.92365000000001</v>
      </c>
      <c r="I168" s="56">
        <v>37.78472</v>
      </c>
      <c r="J168" s="56">
        <v>128.92083</v>
      </c>
      <c r="K168" s="56">
        <v>37.775730000000003</v>
      </c>
      <c r="L168" s="56">
        <v>128.91501</v>
      </c>
      <c r="M168" s="56">
        <v>37.771000000000001</v>
      </c>
      <c r="N168" s="56">
        <v>128.9101</v>
      </c>
    </row>
    <row r="169" spans="1:14" x14ac:dyDescent="0.2">
      <c r="A169" s="16" t="s">
        <v>4277</v>
      </c>
      <c r="B169" s="16" t="s">
        <v>4267</v>
      </c>
      <c r="C169" s="59">
        <v>3.0019999999999998</v>
      </c>
      <c r="D169" s="28">
        <v>4.1666666666666666E-3</v>
      </c>
      <c r="E169" s="60">
        <v>37.781790000000001</v>
      </c>
      <c r="F169" s="60">
        <v>128.93456</v>
      </c>
      <c r="G169" s="60">
        <v>37.785290000000003</v>
      </c>
      <c r="H169" s="60">
        <v>128.9298</v>
      </c>
      <c r="I169" s="60">
        <v>37.787269999999999</v>
      </c>
      <c r="J169" s="60">
        <v>128.92680999999999</v>
      </c>
      <c r="K169" s="60">
        <v>37.786960000000001</v>
      </c>
      <c r="L169" s="60">
        <v>128.92365000000001</v>
      </c>
      <c r="M169" s="60">
        <v>37.792819999999999</v>
      </c>
      <c r="N169" s="60">
        <v>128.91827000000001</v>
      </c>
    </row>
    <row r="170" spans="1:14" x14ac:dyDescent="0.2">
      <c r="A170" s="16" t="s">
        <v>4277</v>
      </c>
      <c r="B170" s="16" t="s">
        <v>4268</v>
      </c>
      <c r="C170" s="55">
        <v>3.6890000000000001</v>
      </c>
      <c r="D170" s="29">
        <v>4.1666666666666666E-3</v>
      </c>
      <c r="E170" s="56">
        <v>37.782029999999999</v>
      </c>
      <c r="F170" s="56">
        <v>128.9342</v>
      </c>
      <c r="G170" s="56">
        <v>37.78698</v>
      </c>
      <c r="H170" s="56">
        <v>128.92773</v>
      </c>
      <c r="I170" s="56">
        <v>37.787149999999997</v>
      </c>
      <c r="J170" s="56">
        <v>128.92400000000001</v>
      </c>
      <c r="K170" s="56">
        <v>37.79327</v>
      </c>
      <c r="L170" s="56">
        <v>128.91785999999999</v>
      </c>
      <c r="M170" s="56">
        <v>37.792769999999997</v>
      </c>
      <c r="N170" s="56">
        <v>128.91386</v>
      </c>
    </row>
    <row r="171" spans="1:14" x14ac:dyDescent="0.2">
      <c r="A171" s="16" t="s">
        <v>4277</v>
      </c>
      <c r="B171" s="16" t="s">
        <v>4269</v>
      </c>
      <c r="C171" s="59">
        <v>5.97</v>
      </c>
      <c r="D171" s="28">
        <v>6.9444444444444441E-3</v>
      </c>
      <c r="E171" s="60">
        <v>37.787089999999999</v>
      </c>
      <c r="F171" s="60">
        <v>128.92747</v>
      </c>
      <c r="G171" s="60">
        <v>37.793999999999997</v>
      </c>
      <c r="H171" s="60">
        <v>128.91677000000001</v>
      </c>
      <c r="I171" s="60">
        <v>37.789380000000001</v>
      </c>
      <c r="J171" s="60">
        <v>128.90932000000001</v>
      </c>
      <c r="K171" s="60">
        <v>37.783439999999999</v>
      </c>
      <c r="L171" s="60">
        <v>128.90252000000001</v>
      </c>
      <c r="M171" s="60">
        <v>37.781030000000001</v>
      </c>
      <c r="N171" s="60">
        <v>128.89449999999999</v>
      </c>
    </row>
    <row r="172" spans="1:14" x14ac:dyDescent="0.2">
      <c r="A172" s="16" t="s">
        <v>4277</v>
      </c>
      <c r="B172" s="16" t="s">
        <v>4270</v>
      </c>
      <c r="C172" s="55">
        <v>3.7240000000000002</v>
      </c>
      <c r="D172" s="29">
        <v>4.1666666666666666E-3</v>
      </c>
      <c r="E172" s="56">
        <v>37.782029999999999</v>
      </c>
      <c r="F172" s="56">
        <v>128.9342</v>
      </c>
      <c r="G172" s="56">
        <v>37.78698</v>
      </c>
      <c r="H172" s="56">
        <v>128.92773</v>
      </c>
      <c r="I172" s="56">
        <v>37.787149999999997</v>
      </c>
      <c r="J172" s="56">
        <v>128.92400000000001</v>
      </c>
      <c r="K172" s="56">
        <v>37.79327</v>
      </c>
      <c r="L172" s="56">
        <v>128.91785999999999</v>
      </c>
      <c r="M172" s="56">
        <v>37.795999999999999</v>
      </c>
      <c r="N172" s="56">
        <v>128.91269</v>
      </c>
    </row>
    <row r="173" spans="1:14" x14ac:dyDescent="0.2">
      <c r="A173" s="16" t="s">
        <v>4277</v>
      </c>
      <c r="B173" s="16" t="s">
        <v>4271</v>
      </c>
      <c r="C173" s="59">
        <v>4.8840000000000003</v>
      </c>
      <c r="D173" s="28">
        <v>5.5555555555555558E-3</v>
      </c>
      <c r="E173" s="60">
        <v>37.78416</v>
      </c>
      <c r="F173" s="60">
        <v>128.93126000000001</v>
      </c>
      <c r="G173" s="60">
        <v>37.788220000000003</v>
      </c>
      <c r="H173" s="60">
        <v>128.92536000000001</v>
      </c>
      <c r="I173" s="60">
        <v>37.793660000000003</v>
      </c>
      <c r="J173" s="60">
        <v>128.91740999999999</v>
      </c>
      <c r="K173" s="60">
        <v>37.79692</v>
      </c>
      <c r="L173" s="60">
        <v>128.91209000000001</v>
      </c>
      <c r="M173" s="60">
        <v>37.803319999999999</v>
      </c>
      <c r="N173" s="60">
        <v>128.90853999999999</v>
      </c>
    </row>
    <row r="174" spans="1:14" x14ac:dyDescent="0.2">
      <c r="A174" s="16" t="s">
        <v>4277</v>
      </c>
      <c r="B174" s="16" t="s">
        <v>4272</v>
      </c>
      <c r="C174" s="55">
        <v>5.7729999999999997</v>
      </c>
      <c r="D174" s="29">
        <v>6.2499999999999995E-3</v>
      </c>
      <c r="E174" s="56">
        <v>37.785800000000002</v>
      </c>
      <c r="F174" s="56">
        <v>128.92916</v>
      </c>
      <c r="G174" s="56">
        <v>37.786969999999997</v>
      </c>
      <c r="H174" s="56">
        <v>128.92357000000001</v>
      </c>
      <c r="I174" s="56">
        <v>37.795810000000003</v>
      </c>
      <c r="J174" s="56">
        <v>128.91297</v>
      </c>
      <c r="K174" s="56">
        <v>37.800719999999998</v>
      </c>
      <c r="L174" s="56">
        <v>128.91112000000001</v>
      </c>
      <c r="M174" s="56">
        <v>37.803570000000001</v>
      </c>
      <c r="N174" s="56">
        <v>128.90483</v>
      </c>
    </row>
    <row r="175" spans="1:14" x14ac:dyDescent="0.2">
      <c r="A175" s="16" t="s">
        <v>4277</v>
      </c>
      <c r="B175" s="16" t="s">
        <v>4273</v>
      </c>
      <c r="C175" s="59">
        <v>5.407</v>
      </c>
      <c r="D175" s="28">
        <v>6.2499999999999995E-3</v>
      </c>
      <c r="E175" s="60">
        <v>37.785290000000003</v>
      </c>
      <c r="F175" s="60">
        <v>128.9298</v>
      </c>
      <c r="G175" s="60">
        <v>37.786960000000001</v>
      </c>
      <c r="H175" s="60">
        <v>128.92365000000001</v>
      </c>
      <c r="I175" s="60">
        <v>37.795499999999997</v>
      </c>
      <c r="J175" s="60">
        <v>128.91356999999999</v>
      </c>
      <c r="K175" s="60">
        <v>37.798479999999998</v>
      </c>
      <c r="L175" s="60">
        <v>128.91172</v>
      </c>
      <c r="M175" s="60">
        <v>37.80471</v>
      </c>
      <c r="N175" s="60">
        <v>128.90550999999999</v>
      </c>
    </row>
    <row r="176" spans="1:14" x14ac:dyDescent="0.2">
      <c r="A176" s="16" t="s">
        <v>4277</v>
      </c>
      <c r="B176" s="16" t="s">
        <v>4274</v>
      </c>
      <c r="C176" s="55">
        <v>7.681</v>
      </c>
      <c r="D176" s="29">
        <v>8.3333333333333332E-3</v>
      </c>
      <c r="E176" s="56">
        <v>37.787089999999999</v>
      </c>
      <c r="F176" s="56">
        <v>128.92747</v>
      </c>
      <c r="G176" s="56">
        <v>37.793999999999997</v>
      </c>
      <c r="H176" s="56">
        <v>128.91677000000001</v>
      </c>
      <c r="I176" s="56">
        <v>37.800719999999998</v>
      </c>
      <c r="J176" s="56">
        <v>128.91112000000001</v>
      </c>
      <c r="K176" s="56">
        <v>37.801259999999999</v>
      </c>
      <c r="L176" s="56">
        <v>128.90316000000001</v>
      </c>
      <c r="M176" s="56">
        <v>37.786700000000003</v>
      </c>
      <c r="N176" s="56">
        <v>128.89324999999999</v>
      </c>
    </row>
    <row r="177" spans="1:14" x14ac:dyDescent="0.2">
      <c r="A177" s="16" t="s">
        <v>4277</v>
      </c>
      <c r="B177" s="16" t="s">
        <v>4275</v>
      </c>
      <c r="C177" s="59">
        <v>7.1790000000000003</v>
      </c>
      <c r="D177" s="28">
        <v>7.6388888888888886E-3</v>
      </c>
      <c r="E177" s="60">
        <v>37.787489999999998</v>
      </c>
      <c r="F177" s="60">
        <v>128.92639</v>
      </c>
      <c r="G177" s="60">
        <v>37.781269999999999</v>
      </c>
      <c r="H177" s="60">
        <v>128.91918000000001</v>
      </c>
      <c r="I177" s="60">
        <v>37.770910000000001</v>
      </c>
      <c r="J177" s="60">
        <v>128.90878000000001</v>
      </c>
      <c r="K177" s="60">
        <v>37.770989999999998</v>
      </c>
      <c r="L177" s="60">
        <v>128.89851999999999</v>
      </c>
      <c r="M177" s="60">
        <v>37.772080000000003</v>
      </c>
      <c r="N177" s="60">
        <v>128.89026999999999</v>
      </c>
    </row>
    <row r="178" spans="1:14" x14ac:dyDescent="0.2">
      <c r="A178" s="16" t="s">
        <v>4277</v>
      </c>
      <c r="B178" s="16" t="s">
        <v>4276</v>
      </c>
      <c r="C178" s="55">
        <v>0.71</v>
      </c>
      <c r="D178" s="29">
        <v>6.9444444444444447E-4</v>
      </c>
      <c r="E178" s="56">
        <v>37.778820000000003</v>
      </c>
      <c r="F178" s="56">
        <v>128.93866</v>
      </c>
      <c r="G178" s="56">
        <v>37.778730000000003</v>
      </c>
      <c r="H178" s="56">
        <v>128.93878000000001</v>
      </c>
      <c r="I178" s="56">
        <v>37.778030000000001</v>
      </c>
      <c r="J178" s="56">
        <v>128.93975</v>
      </c>
      <c r="K178" s="56">
        <v>37.777920000000002</v>
      </c>
      <c r="L178" s="56">
        <v>128.93992</v>
      </c>
      <c r="M178" s="56">
        <v>37.777720000000002</v>
      </c>
      <c r="N178" s="56">
        <v>128.94019</v>
      </c>
    </row>
    <row r="179" spans="1:14" x14ac:dyDescent="0.2">
      <c r="A179" s="16" t="s">
        <v>4277</v>
      </c>
      <c r="B179" s="16" t="s">
        <v>4277</v>
      </c>
      <c r="C179" s="59">
        <v>0</v>
      </c>
      <c r="D179" s="28">
        <v>0</v>
      </c>
      <c r="E179" s="60">
        <f>'1.Locations'!D13</f>
        <v>37.778814783004002</v>
      </c>
      <c r="F179" s="60">
        <f>'1.Locations'!E13</f>
        <v>128.938654960294</v>
      </c>
      <c r="G179" s="60">
        <f>'1.Locations'!D13</f>
        <v>37.778814783004002</v>
      </c>
      <c r="H179" s="60">
        <f>'1.Locations'!E13</f>
        <v>128.938654960294</v>
      </c>
      <c r="I179" s="60">
        <f>'1.Locations'!D13</f>
        <v>37.778814783004002</v>
      </c>
      <c r="J179" s="60">
        <f>'1.Locations'!E13</f>
        <v>128.938654960294</v>
      </c>
      <c r="K179" s="60">
        <f>'1.Locations'!D13</f>
        <v>37.778814783004002</v>
      </c>
      <c r="L179" s="60">
        <f>'1.Locations'!E13</f>
        <v>128.938654960294</v>
      </c>
      <c r="M179" s="60">
        <f>'1.Locations'!D13</f>
        <v>37.778814783004002</v>
      </c>
      <c r="N179" s="60">
        <f>'1.Locations'!E13</f>
        <v>128.938654960294</v>
      </c>
    </row>
    <row r="180" spans="1:14" x14ac:dyDescent="0.2">
      <c r="A180" s="16" t="s">
        <v>4277</v>
      </c>
      <c r="B180" s="16" t="s">
        <v>4278</v>
      </c>
      <c r="C180" s="55">
        <v>2.0259999999999998</v>
      </c>
      <c r="D180" s="29">
        <v>2.7777777777777779E-3</v>
      </c>
      <c r="E180" s="56">
        <v>37.78096</v>
      </c>
      <c r="F180" s="56">
        <v>128.93562</v>
      </c>
      <c r="G180" s="56">
        <v>37.782119999999999</v>
      </c>
      <c r="H180" s="56">
        <v>128.93389999999999</v>
      </c>
      <c r="I180" s="56">
        <v>37.785800000000002</v>
      </c>
      <c r="J180" s="56">
        <v>128.92916</v>
      </c>
      <c r="K180" s="56">
        <v>37.787089999999999</v>
      </c>
      <c r="L180" s="56">
        <v>128.92747</v>
      </c>
      <c r="M180" s="56">
        <v>37.787619999999997</v>
      </c>
      <c r="N180" s="56">
        <v>128.92621</v>
      </c>
    </row>
    <row r="181" spans="1:14" x14ac:dyDescent="0.2">
      <c r="A181" s="16" t="s">
        <v>4277</v>
      </c>
      <c r="B181" s="16" t="s">
        <v>4279</v>
      </c>
      <c r="C181" s="59">
        <v>4.6829999999999998</v>
      </c>
      <c r="D181" s="28">
        <v>6.2499999999999995E-3</v>
      </c>
      <c r="E181" s="60">
        <v>37.783270000000002</v>
      </c>
      <c r="F181" s="60">
        <v>128.93239</v>
      </c>
      <c r="G181" s="60">
        <v>37.787489999999998</v>
      </c>
      <c r="H181" s="60">
        <v>128.92639</v>
      </c>
      <c r="I181" s="60">
        <v>37.792969999999997</v>
      </c>
      <c r="J181" s="60">
        <v>128.91812999999999</v>
      </c>
      <c r="K181" s="60">
        <v>37.792279999999998</v>
      </c>
      <c r="L181" s="60">
        <v>128.91342</v>
      </c>
      <c r="M181" s="60">
        <v>37.789169999999999</v>
      </c>
      <c r="N181" s="60">
        <v>128.90917999999999</v>
      </c>
    </row>
    <row r="182" spans="1:14" x14ac:dyDescent="0.2">
      <c r="A182" s="16" t="s">
        <v>4277</v>
      </c>
      <c r="B182" s="16" t="s">
        <v>4280</v>
      </c>
      <c r="C182" s="55">
        <v>3.9649999999999999</v>
      </c>
      <c r="D182" s="29">
        <v>4.1666666666666666E-3</v>
      </c>
      <c r="E182" s="56">
        <v>37.782119999999999</v>
      </c>
      <c r="F182" s="56">
        <v>128.93389999999999</v>
      </c>
      <c r="G182" s="56">
        <v>37.787089999999999</v>
      </c>
      <c r="H182" s="56">
        <v>128.92747</v>
      </c>
      <c r="I182" s="56">
        <v>37.786969999999997</v>
      </c>
      <c r="J182" s="56">
        <v>128.92357000000001</v>
      </c>
      <c r="K182" s="56">
        <v>37.793999999999997</v>
      </c>
      <c r="L182" s="56">
        <v>128.91677000000001</v>
      </c>
      <c r="M182" s="56">
        <v>37.796610000000001</v>
      </c>
      <c r="N182" s="56">
        <v>128.91220000000001</v>
      </c>
    </row>
    <row r="183" spans="1:14" x14ac:dyDescent="0.2">
      <c r="A183" s="16" t="s">
        <v>4278</v>
      </c>
      <c r="B183" s="16" t="s">
        <v>527</v>
      </c>
      <c r="C183" s="59">
        <v>3.9809999999999999</v>
      </c>
      <c r="D183" s="28">
        <v>4.8611111111111112E-3</v>
      </c>
      <c r="E183" s="60">
        <v>37.786969999999997</v>
      </c>
      <c r="F183" s="60">
        <v>128.92361</v>
      </c>
      <c r="G183" s="60">
        <v>37.785290000000003</v>
      </c>
      <c r="H183" s="60">
        <v>128.92128</v>
      </c>
      <c r="I183" s="60">
        <v>37.778730000000003</v>
      </c>
      <c r="J183" s="60">
        <v>128.91795999999999</v>
      </c>
      <c r="K183" s="60">
        <v>37.773029999999999</v>
      </c>
      <c r="L183" s="60">
        <v>128.91225</v>
      </c>
      <c r="M183" s="60">
        <v>37.769570000000002</v>
      </c>
      <c r="N183" s="60">
        <v>128.90871999999999</v>
      </c>
    </row>
    <row r="184" spans="1:14" x14ac:dyDescent="0.2">
      <c r="A184" s="16" t="s">
        <v>4278</v>
      </c>
      <c r="B184" s="16" t="s">
        <v>4267</v>
      </c>
      <c r="C184" s="55">
        <v>0.76700000000000002</v>
      </c>
      <c r="D184" s="29">
        <v>1.3888888888888889E-3</v>
      </c>
      <c r="E184" s="56">
        <v>37.792200000000001</v>
      </c>
      <c r="F184" s="56">
        <v>128.92039</v>
      </c>
      <c r="G184" s="56">
        <v>37.793849999999999</v>
      </c>
      <c r="H184" s="56">
        <v>128.91906</v>
      </c>
      <c r="I184" s="56">
        <v>37.794519999999999</v>
      </c>
      <c r="J184" s="56">
        <v>128.91847999999999</v>
      </c>
      <c r="K184" s="56">
        <v>37.794750000000001</v>
      </c>
      <c r="L184" s="56">
        <v>128.91793000000001</v>
      </c>
      <c r="M184" s="56">
        <v>37.795000000000002</v>
      </c>
      <c r="N184" s="56">
        <v>128.91731999999999</v>
      </c>
    </row>
    <row r="185" spans="1:14" x14ac:dyDescent="0.2">
      <c r="A185" s="16" t="s">
        <v>4278</v>
      </c>
      <c r="B185" s="16" t="s">
        <v>4268</v>
      </c>
      <c r="C185" s="59">
        <v>1.6279999999999999</v>
      </c>
      <c r="D185" s="28">
        <v>2.7777777777777779E-3</v>
      </c>
      <c r="E185" s="60">
        <v>37.793849999999999</v>
      </c>
      <c r="F185" s="60">
        <v>128.91906</v>
      </c>
      <c r="G185" s="60">
        <v>37.794750000000001</v>
      </c>
      <c r="H185" s="60">
        <v>128.91793000000001</v>
      </c>
      <c r="I185" s="60">
        <v>37.795349999999999</v>
      </c>
      <c r="J185" s="60">
        <v>128.9169</v>
      </c>
      <c r="K185" s="60">
        <v>37.793129999999998</v>
      </c>
      <c r="L185" s="60">
        <v>128.91418999999999</v>
      </c>
      <c r="M185" s="60">
        <v>37.791379999999997</v>
      </c>
      <c r="N185" s="60">
        <v>128.91264000000001</v>
      </c>
    </row>
    <row r="186" spans="1:14" x14ac:dyDescent="0.2">
      <c r="A186" s="16" t="s">
        <v>4278</v>
      </c>
      <c r="B186" s="16" t="s">
        <v>4269</v>
      </c>
      <c r="C186" s="55">
        <v>3.9089999999999998</v>
      </c>
      <c r="D186" s="29">
        <v>4.8611111111111112E-3</v>
      </c>
      <c r="E186" s="56">
        <v>37.79524</v>
      </c>
      <c r="F186" s="56">
        <v>128.91701</v>
      </c>
      <c r="G186" s="56">
        <v>37.790770000000002</v>
      </c>
      <c r="H186" s="56">
        <v>128.91135</v>
      </c>
      <c r="I186" s="56">
        <v>37.785769999999999</v>
      </c>
      <c r="J186" s="56">
        <v>128.90492</v>
      </c>
      <c r="K186" s="56">
        <v>37.78219</v>
      </c>
      <c r="L186" s="56">
        <v>128.89839000000001</v>
      </c>
      <c r="M186" s="56">
        <v>37.780889999999999</v>
      </c>
      <c r="N186" s="56">
        <v>128.89466999999999</v>
      </c>
    </row>
    <row r="187" spans="1:14" x14ac:dyDescent="0.2">
      <c r="A187" s="16" t="s">
        <v>4278</v>
      </c>
      <c r="B187" s="16" t="s">
        <v>4270</v>
      </c>
      <c r="C187" s="59">
        <v>1.6950000000000001</v>
      </c>
      <c r="D187" s="28">
        <v>2.7777777777777779E-3</v>
      </c>
      <c r="E187" s="60">
        <v>37.791609999999999</v>
      </c>
      <c r="F187" s="60">
        <v>128.91934000000001</v>
      </c>
      <c r="G187" s="60">
        <v>37.793810000000001</v>
      </c>
      <c r="H187" s="60">
        <v>128.91716</v>
      </c>
      <c r="I187" s="60">
        <v>37.7956</v>
      </c>
      <c r="J187" s="60">
        <v>128.91336999999999</v>
      </c>
      <c r="K187" s="60">
        <v>37.796390000000002</v>
      </c>
      <c r="L187" s="60">
        <v>128.91231999999999</v>
      </c>
      <c r="M187" s="60">
        <v>37.797049999999999</v>
      </c>
      <c r="N187" s="60">
        <v>128.91206</v>
      </c>
    </row>
    <row r="188" spans="1:14" x14ac:dyDescent="0.2">
      <c r="A188" s="16" t="s">
        <v>4278</v>
      </c>
      <c r="B188" s="16" t="s">
        <v>4271</v>
      </c>
      <c r="C188" s="55">
        <v>2.855</v>
      </c>
      <c r="D188" s="29">
        <v>4.1666666666666666E-3</v>
      </c>
      <c r="E188" s="56">
        <v>37.793660000000003</v>
      </c>
      <c r="F188" s="56">
        <v>128.91740999999999</v>
      </c>
      <c r="G188" s="56">
        <v>37.795999999999999</v>
      </c>
      <c r="H188" s="56">
        <v>128.91269</v>
      </c>
      <c r="I188" s="56">
        <v>37.797499999999999</v>
      </c>
      <c r="J188" s="56">
        <v>128.91194999999999</v>
      </c>
      <c r="K188" s="56">
        <v>37.801679999999998</v>
      </c>
      <c r="L188" s="56">
        <v>128.91045</v>
      </c>
      <c r="M188" s="56">
        <v>37.804519999999997</v>
      </c>
      <c r="N188" s="56">
        <v>128.90618000000001</v>
      </c>
    </row>
    <row r="189" spans="1:14" x14ac:dyDescent="0.2">
      <c r="A189" s="16" t="s">
        <v>4278</v>
      </c>
      <c r="B189" s="16" t="s">
        <v>4272</v>
      </c>
      <c r="C189" s="59">
        <v>3.7440000000000002</v>
      </c>
      <c r="D189" s="28">
        <v>4.8611111111111112E-3</v>
      </c>
      <c r="E189" s="60">
        <v>37.793999999999997</v>
      </c>
      <c r="F189" s="60">
        <v>128.91677000000001</v>
      </c>
      <c r="G189" s="60">
        <v>37.796489999999999</v>
      </c>
      <c r="H189" s="60">
        <v>128.91225</v>
      </c>
      <c r="I189" s="60">
        <v>37.799720000000001</v>
      </c>
      <c r="J189" s="60">
        <v>128.91144</v>
      </c>
      <c r="K189" s="60">
        <v>37.804340000000003</v>
      </c>
      <c r="L189" s="60">
        <v>128.9066</v>
      </c>
      <c r="M189" s="60">
        <v>37.802320000000002</v>
      </c>
      <c r="N189" s="60">
        <v>128.90418</v>
      </c>
    </row>
    <row r="190" spans="1:14" x14ac:dyDescent="0.2">
      <c r="A190" s="16" t="s">
        <v>4278</v>
      </c>
      <c r="B190" s="16" t="s">
        <v>4273</v>
      </c>
      <c r="C190" s="55">
        <v>3.3780000000000001</v>
      </c>
      <c r="D190" s="29">
        <v>4.1666666666666666E-3</v>
      </c>
      <c r="E190" s="56">
        <v>37.793810000000001</v>
      </c>
      <c r="F190" s="56">
        <v>128.91716</v>
      </c>
      <c r="G190" s="56">
        <v>37.796390000000002</v>
      </c>
      <c r="H190" s="56">
        <v>128.91231999999999</v>
      </c>
      <c r="I190" s="56">
        <v>37.79795</v>
      </c>
      <c r="J190" s="56">
        <v>128.91184000000001</v>
      </c>
      <c r="K190" s="56">
        <v>37.803629999999998</v>
      </c>
      <c r="L190" s="56">
        <v>128.90805</v>
      </c>
      <c r="M190" s="56">
        <v>37.804180000000002</v>
      </c>
      <c r="N190" s="56">
        <v>128.90518</v>
      </c>
    </row>
    <row r="191" spans="1:14" x14ac:dyDescent="0.2">
      <c r="A191" s="16" t="s">
        <v>4278</v>
      </c>
      <c r="B191" s="16" t="s">
        <v>4274</v>
      </c>
      <c r="C191" s="59">
        <v>5.6520000000000001</v>
      </c>
      <c r="D191" s="28">
        <v>6.2499999999999995E-3</v>
      </c>
      <c r="E191" s="60">
        <v>37.79589</v>
      </c>
      <c r="F191" s="60">
        <v>128.91283000000001</v>
      </c>
      <c r="G191" s="60">
        <v>37.800930000000001</v>
      </c>
      <c r="H191" s="60">
        <v>128.911</v>
      </c>
      <c r="I191" s="60">
        <v>37.802489999999999</v>
      </c>
      <c r="J191" s="60">
        <v>128.90429</v>
      </c>
      <c r="K191" s="60">
        <v>37.794229999999999</v>
      </c>
      <c r="L191" s="60">
        <v>128.89675</v>
      </c>
      <c r="M191" s="60">
        <v>37.785910000000001</v>
      </c>
      <c r="N191" s="60">
        <v>128.89180999999999</v>
      </c>
    </row>
    <row r="192" spans="1:14" x14ac:dyDescent="0.2">
      <c r="A192" s="16" t="s">
        <v>4278</v>
      </c>
      <c r="B192" s="16" t="s">
        <v>4275</v>
      </c>
      <c r="C192" s="55">
        <v>5.1980000000000004</v>
      </c>
      <c r="D192" s="29">
        <v>6.2499999999999995E-3</v>
      </c>
      <c r="E192" s="56">
        <v>37.794780000000003</v>
      </c>
      <c r="F192" s="56">
        <v>128.91575</v>
      </c>
      <c r="G192" s="56">
        <v>37.788969999999999</v>
      </c>
      <c r="H192" s="56">
        <v>128.90906000000001</v>
      </c>
      <c r="I192" s="56">
        <v>37.782980000000002</v>
      </c>
      <c r="J192" s="56">
        <v>128.90186</v>
      </c>
      <c r="K192" s="56">
        <v>37.781480000000002</v>
      </c>
      <c r="L192" s="56">
        <v>128.89385999999999</v>
      </c>
      <c r="M192" s="56">
        <v>37.780239999999999</v>
      </c>
      <c r="N192" s="56">
        <v>128.88729000000001</v>
      </c>
    </row>
    <row r="193" spans="1:14" x14ac:dyDescent="0.2">
      <c r="A193" s="16" t="s">
        <v>4278</v>
      </c>
      <c r="B193" s="16" t="s">
        <v>4276</v>
      </c>
      <c r="C193" s="59">
        <v>2.7360000000000002</v>
      </c>
      <c r="D193" s="28">
        <v>3.472222222222222E-3</v>
      </c>
      <c r="E193" s="60">
        <v>37.788760000000003</v>
      </c>
      <c r="F193" s="60">
        <v>128.9246</v>
      </c>
      <c r="G193" s="60">
        <v>37.787309999999998</v>
      </c>
      <c r="H193" s="60">
        <v>128.92671000000001</v>
      </c>
      <c r="I193" s="60">
        <v>37.786259999999999</v>
      </c>
      <c r="J193" s="60">
        <v>128.92851999999999</v>
      </c>
      <c r="K193" s="60">
        <v>37.782179999999997</v>
      </c>
      <c r="L193" s="60">
        <v>128.93378999999999</v>
      </c>
      <c r="M193" s="60">
        <v>37.78096</v>
      </c>
      <c r="N193" s="60">
        <v>128.93562</v>
      </c>
    </row>
    <row r="194" spans="1:14" x14ac:dyDescent="0.2">
      <c r="A194" s="16" t="s">
        <v>4278</v>
      </c>
      <c r="B194" s="16" t="s">
        <v>4277</v>
      </c>
      <c r="C194" s="55">
        <v>2.0259999999999998</v>
      </c>
      <c r="D194" s="29">
        <v>2.7777777777777779E-3</v>
      </c>
      <c r="E194" s="56">
        <v>37.788939999999997</v>
      </c>
      <c r="F194" s="56">
        <v>128.92410000000001</v>
      </c>
      <c r="G194" s="56">
        <v>37.787370000000003</v>
      </c>
      <c r="H194" s="56">
        <v>128.92657</v>
      </c>
      <c r="I194" s="56">
        <v>37.78698</v>
      </c>
      <c r="J194" s="56">
        <v>128.92773</v>
      </c>
      <c r="K194" s="56">
        <v>37.784829999999999</v>
      </c>
      <c r="L194" s="56">
        <v>128.93037000000001</v>
      </c>
      <c r="M194" s="56">
        <v>37.78199</v>
      </c>
      <c r="N194" s="56">
        <v>128.93429</v>
      </c>
    </row>
    <row r="195" spans="1:14" x14ac:dyDescent="0.2">
      <c r="A195" s="16" t="s">
        <v>4278</v>
      </c>
      <c r="B195" s="16" t="s">
        <v>4278</v>
      </c>
      <c r="C195" s="59">
        <v>0</v>
      </c>
      <c r="D195" s="28">
        <v>0</v>
      </c>
      <c r="E195" s="60">
        <f>'1.Locations'!D14</f>
        <v>37.790937549453801</v>
      </c>
      <c r="F195" s="60">
        <f>'1.Locations'!E14</f>
        <v>128.92172560899601</v>
      </c>
      <c r="G195" s="60">
        <f>'1.Locations'!D14</f>
        <v>37.790937549453801</v>
      </c>
      <c r="H195" s="60">
        <f>'1.Locations'!E14</f>
        <v>128.92172560899601</v>
      </c>
      <c r="I195" s="60">
        <f>'1.Locations'!D14</f>
        <v>37.790937549453801</v>
      </c>
      <c r="J195" s="60">
        <f>'1.Locations'!E14</f>
        <v>128.92172560899601</v>
      </c>
      <c r="K195" s="60">
        <f>'1.Locations'!D14</f>
        <v>37.790937549453801</v>
      </c>
      <c r="L195" s="60">
        <f>'1.Locations'!E14</f>
        <v>128.92172560899601</v>
      </c>
      <c r="M195" s="60">
        <f>'1.Locations'!D14</f>
        <v>37.790937549453801</v>
      </c>
      <c r="N195" s="60">
        <f>'1.Locations'!E14</f>
        <v>128.92172560899601</v>
      </c>
    </row>
    <row r="196" spans="1:14" x14ac:dyDescent="0.2">
      <c r="A196" s="16" t="s">
        <v>4278</v>
      </c>
      <c r="B196" s="16" t="s">
        <v>4279</v>
      </c>
      <c r="C196" s="55">
        <v>2.6219999999999999</v>
      </c>
      <c r="D196" s="29">
        <v>4.1666666666666666E-3</v>
      </c>
      <c r="E196" s="56">
        <v>37.794519999999999</v>
      </c>
      <c r="F196" s="56">
        <v>128.91847999999999</v>
      </c>
      <c r="G196" s="56">
        <v>37.795349999999999</v>
      </c>
      <c r="H196" s="56">
        <v>128.9169</v>
      </c>
      <c r="I196" s="56">
        <v>37.792459999999998</v>
      </c>
      <c r="J196" s="56">
        <v>128.91356999999999</v>
      </c>
      <c r="K196" s="56">
        <v>37.790730000000003</v>
      </c>
      <c r="L196" s="56">
        <v>128.91092</v>
      </c>
      <c r="M196" s="56">
        <v>37.787959999999998</v>
      </c>
      <c r="N196" s="56">
        <v>128.9083</v>
      </c>
    </row>
    <row r="197" spans="1:14" x14ac:dyDescent="0.2">
      <c r="A197" s="16" t="s">
        <v>4278</v>
      </c>
      <c r="B197" s="16" t="s">
        <v>4280</v>
      </c>
      <c r="C197" s="59">
        <v>1.9359999999999999</v>
      </c>
      <c r="D197" s="28">
        <v>2.7777777777777779E-3</v>
      </c>
      <c r="E197" s="60">
        <v>37.792819999999999</v>
      </c>
      <c r="F197" s="60">
        <v>128.91827000000001</v>
      </c>
      <c r="G197" s="60">
        <v>37.794110000000003</v>
      </c>
      <c r="H197" s="60">
        <v>128.91654</v>
      </c>
      <c r="I197" s="60">
        <v>37.79589</v>
      </c>
      <c r="J197" s="60">
        <v>128.91283000000001</v>
      </c>
      <c r="K197" s="60">
        <v>37.796779999999998</v>
      </c>
      <c r="L197" s="60">
        <v>128.91211999999999</v>
      </c>
      <c r="M197" s="60">
        <v>37.797910000000002</v>
      </c>
      <c r="N197" s="60">
        <v>128.91184999999999</v>
      </c>
    </row>
    <row r="198" spans="1:14" x14ac:dyDescent="0.2">
      <c r="A198" s="16" t="s">
        <v>4279</v>
      </c>
      <c r="B198" s="16" t="s">
        <v>527</v>
      </c>
      <c r="C198" s="55">
        <v>3.996</v>
      </c>
      <c r="D198" s="29">
        <v>6.2499999999999995E-3</v>
      </c>
      <c r="E198" s="56">
        <v>37.78539</v>
      </c>
      <c r="F198" s="56">
        <v>128.90436</v>
      </c>
      <c r="G198" s="56">
        <v>37.780749999999998</v>
      </c>
      <c r="H198" s="56">
        <v>128.90288000000001</v>
      </c>
      <c r="I198" s="56">
        <v>37.776519999999998</v>
      </c>
      <c r="J198" s="56">
        <v>128.90352999999999</v>
      </c>
      <c r="K198" s="56">
        <v>37.774050000000003</v>
      </c>
      <c r="L198" s="56">
        <v>128.90633</v>
      </c>
      <c r="M198" s="56">
        <v>37.771000000000001</v>
      </c>
      <c r="N198" s="56">
        <v>128.9101</v>
      </c>
    </row>
    <row r="199" spans="1:14" x14ac:dyDescent="0.2">
      <c r="A199" s="16" t="s">
        <v>4279</v>
      </c>
      <c r="B199" s="16" t="s">
        <v>4267</v>
      </c>
      <c r="C199" s="59">
        <v>1.855</v>
      </c>
      <c r="D199" s="28">
        <v>2.7777777777777779E-3</v>
      </c>
      <c r="E199" s="60">
        <v>37.788699999999999</v>
      </c>
      <c r="F199" s="60">
        <v>128.90630999999999</v>
      </c>
      <c r="G199" s="60">
        <v>37.786859999999997</v>
      </c>
      <c r="H199" s="60">
        <v>128.90729999999999</v>
      </c>
      <c r="I199" s="60">
        <v>37.789380000000001</v>
      </c>
      <c r="J199" s="60">
        <v>128.90932000000001</v>
      </c>
      <c r="K199" s="60">
        <v>37.790770000000002</v>
      </c>
      <c r="L199" s="60">
        <v>128.91135</v>
      </c>
      <c r="M199" s="60">
        <v>37.792279999999998</v>
      </c>
      <c r="N199" s="60">
        <v>128.91342</v>
      </c>
    </row>
    <row r="200" spans="1:14" x14ac:dyDescent="0.2">
      <c r="A200" s="16" t="s">
        <v>4279</v>
      </c>
      <c r="B200" s="16" t="s">
        <v>4268</v>
      </c>
      <c r="C200" s="55">
        <v>0.99399999999999999</v>
      </c>
      <c r="D200" s="29">
        <v>2.0833333333333333E-3</v>
      </c>
      <c r="E200" s="56">
        <v>37.79054</v>
      </c>
      <c r="F200" s="56">
        <v>128.90693999999999</v>
      </c>
      <c r="G200" s="56">
        <v>37.788699999999999</v>
      </c>
      <c r="H200" s="56">
        <v>128.90630999999999</v>
      </c>
      <c r="I200" s="56">
        <v>37.787930000000003</v>
      </c>
      <c r="J200" s="56">
        <v>128.90648999999999</v>
      </c>
      <c r="K200" s="56">
        <v>37.786859999999997</v>
      </c>
      <c r="L200" s="56">
        <v>128.90729999999999</v>
      </c>
      <c r="M200" s="56">
        <v>37.788429999999998</v>
      </c>
      <c r="N200" s="56">
        <v>128.90872999999999</v>
      </c>
    </row>
    <row r="201" spans="1:14" x14ac:dyDescent="0.2">
      <c r="A201" s="16" t="s">
        <v>4279</v>
      </c>
      <c r="B201" s="16" t="s">
        <v>4269</v>
      </c>
      <c r="C201" s="59">
        <v>2.4369999999999998</v>
      </c>
      <c r="D201" s="28">
        <v>4.1666666666666666E-3</v>
      </c>
      <c r="E201" s="60">
        <v>37.786450000000002</v>
      </c>
      <c r="F201" s="60">
        <v>128.90648999999999</v>
      </c>
      <c r="G201" s="60">
        <v>37.783619999999999</v>
      </c>
      <c r="H201" s="60">
        <v>128.90289000000001</v>
      </c>
      <c r="I201" s="60">
        <v>37.781999999999996</v>
      </c>
      <c r="J201" s="60">
        <v>128.89757</v>
      </c>
      <c r="K201" s="60">
        <v>37.781030000000001</v>
      </c>
      <c r="L201" s="60">
        <v>128.89449999999999</v>
      </c>
      <c r="M201" s="60">
        <v>37.779769999999999</v>
      </c>
      <c r="N201" s="60">
        <v>128.89542</v>
      </c>
    </row>
    <row r="202" spans="1:14" x14ac:dyDescent="0.2">
      <c r="A202" s="16" t="s">
        <v>4279</v>
      </c>
      <c r="B202" s="16" t="s">
        <v>4270</v>
      </c>
      <c r="C202" s="55">
        <v>2.577</v>
      </c>
      <c r="D202" s="29">
        <v>4.1666666666666666E-3</v>
      </c>
      <c r="E202" s="56">
        <v>37.787930000000003</v>
      </c>
      <c r="F202" s="56">
        <v>128.90648999999999</v>
      </c>
      <c r="G202" s="56">
        <v>37.789380000000001</v>
      </c>
      <c r="H202" s="56">
        <v>128.90932000000001</v>
      </c>
      <c r="I202" s="56">
        <v>37.791040000000002</v>
      </c>
      <c r="J202" s="56">
        <v>128.91218000000001</v>
      </c>
      <c r="K202" s="56">
        <v>37.79372</v>
      </c>
      <c r="L202" s="56">
        <v>128.91473999999999</v>
      </c>
      <c r="M202" s="56">
        <v>37.796610000000001</v>
      </c>
      <c r="N202" s="56">
        <v>128.91220000000001</v>
      </c>
    </row>
    <row r="203" spans="1:14" x14ac:dyDescent="0.2">
      <c r="A203" s="16" t="s">
        <v>4279</v>
      </c>
      <c r="B203" s="16" t="s">
        <v>4271</v>
      </c>
      <c r="C203" s="59">
        <v>4.4960000000000004</v>
      </c>
      <c r="D203" s="28">
        <v>4.8611111111111112E-3</v>
      </c>
      <c r="E203" s="60">
        <v>37.786050000000003</v>
      </c>
      <c r="F203" s="60">
        <v>128.90548999999999</v>
      </c>
      <c r="G203" s="60">
        <v>37.782539999999997</v>
      </c>
      <c r="H203" s="60">
        <v>128.90114</v>
      </c>
      <c r="I203" s="60">
        <v>37.781179999999999</v>
      </c>
      <c r="J203" s="60">
        <v>128.89467999999999</v>
      </c>
      <c r="K203" s="60">
        <v>37.784439999999996</v>
      </c>
      <c r="L203" s="60">
        <v>128.89277000000001</v>
      </c>
      <c r="M203" s="60">
        <v>37.79157</v>
      </c>
      <c r="N203" s="60">
        <v>128.89572999999999</v>
      </c>
    </row>
    <row r="204" spans="1:14" x14ac:dyDescent="0.2">
      <c r="A204" s="16" t="s">
        <v>4279</v>
      </c>
      <c r="B204" s="16" t="s">
        <v>4272</v>
      </c>
      <c r="C204" s="55">
        <v>3.6070000000000002</v>
      </c>
      <c r="D204" s="29">
        <v>4.1666666666666666E-3</v>
      </c>
      <c r="E204" s="56">
        <v>37.786270000000002</v>
      </c>
      <c r="F204" s="56">
        <v>128.90603999999999</v>
      </c>
      <c r="G204" s="56">
        <v>37.783439999999999</v>
      </c>
      <c r="H204" s="56">
        <v>128.90252000000001</v>
      </c>
      <c r="I204" s="56">
        <v>37.78145</v>
      </c>
      <c r="J204" s="56">
        <v>128.89576</v>
      </c>
      <c r="K204" s="56">
        <v>37.781649999999999</v>
      </c>
      <c r="L204" s="56">
        <v>128.89358999999999</v>
      </c>
      <c r="M204" s="56">
        <v>37.785820000000001</v>
      </c>
      <c r="N204" s="56">
        <v>128.89348000000001</v>
      </c>
    </row>
    <row r="205" spans="1:14" x14ac:dyDescent="0.2">
      <c r="A205" s="16" t="s">
        <v>4279</v>
      </c>
      <c r="B205" s="16" t="s">
        <v>4273</v>
      </c>
      <c r="C205" s="59">
        <v>3.9729999999999999</v>
      </c>
      <c r="D205" s="28">
        <v>4.8611111111111112E-3</v>
      </c>
      <c r="E205" s="60">
        <v>37.786149999999999</v>
      </c>
      <c r="F205" s="60">
        <v>128.90572</v>
      </c>
      <c r="G205" s="60">
        <v>37.782980000000002</v>
      </c>
      <c r="H205" s="60">
        <v>128.90186</v>
      </c>
      <c r="I205" s="60">
        <v>37.781129999999997</v>
      </c>
      <c r="J205" s="60">
        <v>128.89483000000001</v>
      </c>
      <c r="K205" s="60">
        <v>37.782989999999998</v>
      </c>
      <c r="L205" s="60">
        <v>128.89266000000001</v>
      </c>
      <c r="M205" s="60">
        <v>37.78669</v>
      </c>
      <c r="N205" s="60">
        <v>128.89361</v>
      </c>
    </row>
    <row r="206" spans="1:14" x14ac:dyDescent="0.2">
      <c r="A206" s="16" t="s">
        <v>4279</v>
      </c>
      <c r="B206" s="16" t="s">
        <v>4274</v>
      </c>
      <c r="C206" s="55">
        <v>4.45</v>
      </c>
      <c r="D206" s="29">
        <v>5.5555555555555558E-3</v>
      </c>
      <c r="E206" s="56">
        <v>37.784280000000003</v>
      </c>
      <c r="F206" s="56">
        <v>128.90369000000001</v>
      </c>
      <c r="G206" s="56">
        <v>37.781100000000002</v>
      </c>
      <c r="H206" s="56">
        <v>128.89484999999999</v>
      </c>
      <c r="I206" s="56">
        <v>37.783619999999999</v>
      </c>
      <c r="J206" s="56">
        <v>128.89071999999999</v>
      </c>
      <c r="K206" s="56">
        <v>37.778350000000003</v>
      </c>
      <c r="L206" s="56">
        <v>128.88578999999999</v>
      </c>
      <c r="M206" s="56">
        <v>37.783630000000002</v>
      </c>
      <c r="N206" s="56">
        <v>128.88031000000001</v>
      </c>
    </row>
    <row r="207" spans="1:14" x14ac:dyDescent="0.2">
      <c r="A207" s="16" t="s">
        <v>4279</v>
      </c>
      <c r="B207" s="16" t="s">
        <v>4275</v>
      </c>
      <c r="C207" s="59">
        <v>3.726</v>
      </c>
      <c r="D207" s="28">
        <v>4.8611111111111112E-3</v>
      </c>
      <c r="E207" s="60">
        <v>37.785649999999997</v>
      </c>
      <c r="F207" s="60">
        <v>128.90468000000001</v>
      </c>
      <c r="G207" s="60">
        <v>37.782290000000003</v>
      </c>
      <c r="H207" s="60">
        <v>128.89931000000001</v>
      </c>
      <c r="I207" s="60">
        <v>37.781289999999998</v>
      </c>
      <c r="J207" s="60">
        <v>128.89418000000001</v>
      </c>
      <c r="K207" s="60">
        <v>37.783099999999997</v>
      </c>
      <c r="L207" s="60">
        <v>128.88986</v>
      </c>
      <c r="M207" s="60">
        <v>37.778350000000003</v>
      </c>
      <c r="N207" s="60">
        <v>128.88578999999999</v>
      </c>
    </row>
    <row r="208" spans="1:14" x14ac:dyDescent="0.2">
      <c r="A208" s="16" t="s">
        <v>4279</v>
      </c>
      <c r="B208" s="16" t="s">
        <v>4276</v>
      </c>
      <c r="C208" s="55">
        <v>5.444</v>
      </c>
      <c r="D208" s="29">
        <v>6.9444444444444441E-3</v>
      </c>
      <c r="E208" s="56">
        <v>37.787959999999998</v>
      </c>
      <c r="F208" s="56">
        <v>128.9083</v>
      </c>
      <c r="G208" s="56">
        <v>37.791040000000002</v>
      </c>
      <c r="H208" s="56">
        <v>128.91218000000001</v>
      </c>
      <c r="I208" s="56">
        <v>37.793660000000003</v>
      </c>
      <c r="J208" s="56">
        <v>128.91740999999999</v>
      </c>
      <c r="K208" s="56">
        <v>37.786659999999998</v>
      </c>
      <c r="L208" s="56">
        <v>128.92352</v>
      </c>
      <c r="M208" s="56">
        <v>37.779820000000001</v>
      </c>
      <c r="N208" s="56">
        <v>128.93297999999999</v>
      </c>
    </row>
    <row r="209" spans="1:14" x14ac:dyDescent="0.2">
      <c r="A209" s="16" t="s">
        <v>4279</v>
      </c>
      <c r="B209" s="16" t="s">
        <v>4277</v>
      </c>
      <c r="C209" s="59">
        <v>4.734</v>
      </c>
      <c r="D209" s="28">
        <v>6.2499999999999995E-3</v>
      </c>
      <c r="E209" s="60">
        <v>37.786859999999997</v>
      </c>
      <c r="F209" s="60">
        <v>128.90729999999999</v>
      </c>
      <c r="G209" s="60">
        <v>37.790770000000002</v>
      </c>
      <c r="H209" s="60">
        <v>128.91135</v>
      </c>
      <c r="I209" s="60">
        <v>37.79372</v>
      </c>
      <c r="J209" s="60">
        <v>128.91473999999999</v>
      </c>
      <c r="K209" s="60">
        <v>37.787210000000002</v>
      </c>
      <c r="L209" s="60">
        <v>128.92321000000001</v>
      </c>
      <c r="M209" s="60">
        <v>37.783329999999999</v>
      </c>
      <c r="N209" s="60">
        <v>128.92966000000001</v>
      </c>
    </row>
    <row r="210" spans="1:14" x14ac:dyDescent="0.2">
      <c r="A210" s="16" t="s">
        <v>4279</v>
      </c>
      <c r="B210" s="16" t="s">
        <v>4278</v>
      </c>
      <c r="C210" s="55">
        <v>2.6219999999999999</v>
      </c>
      <c r="D210" s="29">
        <v>4.1666666666666666E-3</v>
      </c>
      <c r="E210" s="56">
        <v>37.787930000000003</v>
      </c>
      <c r="F210" s="56">
        <v>128.90648999999999</v>
      </c>
      <c r="G210" s="56">
        <v>37.789380000000001</v>
      </c>
      <c r="H210" s="56">
        <v>128.90932000000001</v>
      </c>
      <c r="I210" s="56">
        <v>37.791040000000002</v>
      </c>
      <c r="J210" s="56">
        <v>128.91218000000001</v>
      </c>
      <c r="K210" s="56">
        <v>37.79372</v>
      </c>
      <c r="L210" s="56">
        <v>128.91473999999999</v>
      </c>
      <c r="M210" s="56">
        <v>37.794840000000001</v>
      </c>
      <c r="N210" s="56">
        <v>128.91765000000001</v>
      </c>
    </row>
    <row r="211" spans="1:14" x14ac:dyDescent="0.2">
      <c r="A211" s="16" t="s">
        <v>4279</v>
      </c>
      <c r="B211" s="16" t="s">
        <v>4279</v>
      </c>
      <c r="C211" s="59">
        <v>0</v>
      </c>
      <c r="D211" s="28">
        <v>0</v>
      </c>
      <c r="E211" s="60">
        <f>'1.Locations'!D15</f>
        <v>37.7905870979681</v>
      </c>
      <c r="F211" s="60">
        <f>'1.Locations'!E15</f>
        <v>128.90749104317999</v>
      </c>
      <c r="G211" s="60">
        <f>'1.Locations'!D15</f>
        <v>37.7905870979681</v>
      </c>
      <c r="H211" s="60">
        <f>'1.Locations'!E15</f>
        <v>128.90749104317999</v>
      </c>
      <c r="I211" s="60">
        <f>'1.Locations'!D15</f>
        <v>37.7905870979681</v>
      </c>
      <c r="J211" s="60">
        <f>'1.Locations'!E15</f>
        <v>128.90749104317999</v>
      </c>
      <c r="K211" s="60">
        <f>'1.Locations'!D15</f>
        <v>37.7905870979681</v>
      </c>
      <c r="L211" s="60">
        <f>'1.Locations'!E15</f>
        <v>128.90749104317999</v>
      </c>
      <c r="M211" s="60">
        <f>'1.Locations'!D15</f>
        <v>37.7905870979681</v>
      </c>
      <c r="N211" s="60">
        <f>'1.Locations'!E15</f>
        <v>128.90749104317999</v>
      </c>
    </row>
    <row r="212" spans="1:14" x14ac:dyDescent="0.2">
      <c r="A212" s="16" t="s">
        <v>4279</v>
      </c>
      <c r="B212" s="16" t="s">
        <v>4280</v>
      </c>
      <c r="C212" s="55">
        <v>2.8180000000000001</v>
      </c>
      <c r="D212" s="29">
        <v>4.1666666666666666E-3</v>
      </c>
      <c r="E212" s="56">
        <v>37.787640000000003</v>
      </c>
      <c r="F212" s="56">
        <v>128.90656999999999</v>
      </c>
      <c r="G212" s="56">
        <v>37.790080000000003</v>
      </c>
      <c r="H212" s="56">
        <v>128.91005999999999</v>
      </c>
      <c r="I212" s="56">
        <v>37.791600000000003</v>
      </c>
      <c r="J212" s="56">
        <v>128.91284999999999</v>
      </c>
      <c r="K212" s="56">
        <v>37.795760000000001</v>
      </c>
      <c r="L212" s="56">
        <v>128.91306</v>
      </c>
      <c r="M212" s="56">
        <v>37.797159999999998</v>
      </c>
      <c r="N212" s="56">
        <v>128.91202999999999</v>
      </c>
    </row>
    <row r="213" spans="1:14" x14ac:dyDescent="0.2">
      <c r="A213" s="16" t="s">
        <v>4280</v>
      </c>
      <c r="B213" s="16" t="s">
        <v>527</v>
      </c>
      <c r="C213" s="59">
        <v>5.4649999999999999</v>
      </c>
      <c r="D213" s="28">
        <v>6.2499999999999995E-3</v>
      </c>
      <c r="E213" s="60">
        <v>37.796610000000001</v>
      </c>
      <c r="F213" s="60">
        <v>128.91220000000001</v>
      </c>
      <c r="G213" s="60">
        <v>37.792819999999999</v>
      </c>
      <c r="H213" s="60">
        <v>128.91827000000001</v>
      </c>
      <c r="I213" s="60">
        <v>37.784869999999998</v>
      </c>
      <c r="J213" s="60">
        <v>128.92090999999999</v>
      </c>
      <c r="K213" s="60">
        <v>37.776510000000002</v>
      </c>
      <c r="L213" s="60">
        <v>128.91584</v>
      </c>
      <c r="M213" s="60">
        <v>37.771210000000004</v>
      </c>
      <c r="N213" s="60">
        <v>128.91030000000001</v>
      </c>
    </row>
    <row r="214" spans="1:14" x14ac:dyDescent="0.2">
      <c r="A214" s="16" t="s">
        <v>4280</v>
      </c>
      <c r="B214" s="16" t="s">
        <v>4267</v>
      </c>
      <c r="C214" s="55">
        <v>1.137</v>
      </c>
      <c r="D214" s="29">
        <v>1.3888888888888889E-3</v>
      </c>
      <c r="E214" s="56">
        <v>37.800930000000001</v>
      </c>
      <c r="F214" s="56">
        <v>128.911</v>
      </c>
      <c r="G214" s="56">
        <v>37.798479999999998</v>
      </c>
      <c r="H214" s="56">
        <v>128.91172</v>
      </c>
      <c r="I214" s="56">
        <v>37.797159999999998</v>
      </c>
      <c r="J214" s="56">
        <v>128.91202999999999</v>
      </c>
      <c r="K214" s="56">
        <v>37.796610000000001</v>
      </c>
      <c r="L214" s="56">
        <v>128.91220000000001</v>
      </c>
      <c r="M214" s="56">
        <v>37.795999999999999</v>
      </c>
      <c r="N214" s="56">
        <v>128.91269</v>
      </c>
    </row>
    <row r="215" spans="1:14" x14ac:dyDescent="0.2">
      <c r="A215" s="16" t="s">
        <v>4280</v>
      </c>
      <c r="B215" s="16" t="s">
        <v>4268</v>
      </c>
      <c r="C215" s="59">
        <v>1.7270000000000001</v>
      </c>
      <c r="D215" s="28">
        <v>2.0833333333333333E-3</v>
      </c>
      <c r="E215" s="60">
        <v>37.799570000000003</v>
      </c>
      <c r="F215" s="60">
        <v>128.91148000000001</v>
      </c>
      <c r="G215" s="60">
        <v>37.79692</v>
      </c>
      <c r="H215" s="60">
        <v>128.91209000000001</v>
      </c>
      <c r="I215" s="60">
        <v>37.795810000000003</v>
      </c>
      <c r="J215" s="60">
        <v>128.91297</v>
      </c>
      <c r="K215" s="60">
        <v>37.79372</v>
      </c>
      <c r="L215" s="60">
        <v>128.91473999999999</v>
      </c>
      <c r="M215" s="60">
        <v>37.791600000000003</v>
      </c>
      <c r="N215" s="60">
        <v>128.91284999999999</v>
      </c>
    </row>
    <row r="216" spans="1:14" x14ac:dyDescent="0.2">
      <c r="A216" s="16" t="s">
        <v>4280</v>
      </c>
      <c r="B216" s="16" t="s">
        <v>4269</v>
      </c>
      <c r="C216" s="55">
        <v>4.008</v>
      </c>
      <c r="D216" s="29">
        <v>4.1666666666666666E-3</v>
      </c>
      <c r="E216" s="56">
        <v>37.796199999999999</v>
      </c>
      <c r="F216" s="56">
        <v>128.91247999999999</v>
      </c>
      <c r="G216" s="56">
        <v>37.791040000000002</v>
      </c>
      <c r="H216" s="56">
        <v>128.91218000000001</v>
      </c>
      <c r="I216" s="56">
        <v>37.786270000000002</v>
      </c>
      <c r="J216" s="56">
        <v>128.90603999999999</v>
      </c>
      <c r="K216" s="56">
        <v>37.782290000000003</v>
      </c>
      <c r="L216" s="56">
        <v>128.89931000000001</v>
      </c>
      <c r="M216" s="56">
        <v>37.780900000000003</v>
      </c>
      <c r="N216" s="56">
        <v>128.89462</v>
      </c>
    </row>
    <row r="217" spans="1:14" x14ac:dyDescent="0.2">
      <c r="A217" s="16" t="s">
        <v>4280</v>
      </c>
      <c r="B217" s="16" t="s">
        <v>4270</v>
      </c>
      <c r="C217" s="59">
        <v>0.24099999999999999</v>
      </c>
      <c r="D217" s="28">
        <v>0</v>
      </c>
      <c r="E217" s="60">
        <v>37.802259999999997</v>
      </c>
      <c r="F217" s="60">
        <v>128.90980999999999</v>
      </c>
      <c r="G217" s="60">
        <v>37.802070000000001</v>
      </c>
      <c r="H217" s="60">
        <v>128.91004000000001</v>
      </c>
      <c r="I217" s="60">
        <v>37.801679999999998</v>
      </c>
      <c r="J217" s="60">
        <v>128.91045</v>
      </c>
      <c r="K217" s="60">
        <v>37.801319999999997</v>
      </c>
      <c r="L217" s="60">
        <v>128.91075000000001</v>
      </c>
      <c r="M217" s="60">
        <v>37.800930000000001</v>
      </c>
      <c r="N217" s="60">
        <v>128.911</v>
      </c>
    </row>
    <row r="218" spans="1:14" x14ac:dyDescent="0.2">
      <c r="A218" s="16" t="s">
        <v>4280</v>
      </c>
      <c r="B218" s="16" t="s">
        <v>4271</v>
      </c>
      <c r="C218" s="55">
        <v>0.91900000000000004</v>
      </c>
      <c r="D218" s="29">
        <v>1.3888888888888889E-3</v>
      </c>
      <c r="E218" s="56">
        <v>37.803629999999998</v>
      </c>
      <c r="F218" s="56">
        <v>128.90805</v>
      </c>
      <c r="G218" s="56">
        <v>37.804340000000003</v>
      </c>
      <c r="H218" s="56">
        <v>128.9066</v>
      </c>
      <c r="I218" s="56">
        <v>37.804600000000001</v>
      </c>
      <c r="J218" s="56">
        <v>128.90593999999999</v>
      </c>
      <c r="K218" s="56">
        <v>37.804180000000002</v>
      </c>
      <c r="L218" s="56">
        <v>128.90518</v>
      </c>
      <c r="M218" s="56">
        <v>37.802439999999997</v>
      </c>
      <c r="N218" s="56">
        <v>128.90428</v>
      </c>
    </row>
    <row r="219" spans="1:14" x14ac:dyDescent="0.2">
      <c r="A219" s="16" t="s">
        <v>4280</v>
      </c>
      <c r="B219" s="16" t="s">
        <v>4272</v>
      </c>
      <c r="C219" s="59">
        <v>1.8080000000000001</v>
      </c>
      <c r="D219" s="28">
        <v>2.0833333333333333E-3</v>
      </c>
      <c r="E219" s="60">
        <v>37.804110000000001</v>
      </c>
      <c r="F219" s="60">
        <v>128.90710000000001</v>
      </c>
      <c r="G219" s="60">
        <v>37.804600000000001</v>
      </c>
      <c r="H219" s="60">
        <v>128.90593999999999</v>
      </c>
      <c r="I219" s="60">
        <v>37.803570000000001</v>
      </c>
      <c r="J219" s="60">
        <v>128.90483</v>
      </c>
      <c r="K219" s="60">
        <v>37.801319999999997</v>
      </c>
      <c r="L219" s="60">
        <v>128.90323000000001</v>
      </c>
      <c r="M219" s="60">
        <v>37.798920000000003</v>
      </c>
      <c r="N219" s="60">
        <v>128.89940000000001</v>
      </c>
    </row>
    <row r="220" spans="1:14" x14ac:dyDescent="0.2">
      <c r="A220" s="16" t="s">
        <v>4280</v>
      </c>
      <c r="B220" s="16" t="s">
        <v>4273</v>
      </c>
      <c r="C220" s="55">
        <v>1.4419999999999999</v>
      </c>
      <c r="D220" s="29">
        <v>1.3888888888888889E-3</v>
      </c>
      <c r="E220" s="56">
        <v>37.803809999999999</v>
      </c>
      <c r="F220" s="56">
        <v>128.90770000000001</v>
      </c>
      <c r="G220" s="56">
        <v>37.804479999999998</v>
      </c>
      <c r="H220" s="56">
        <v>128.90630999999999</v>
      </c>
      <c r="I220" s="56">
        <v>37.804319999999997</v>
      </c>
      <c r="J220" s="56">
        <v>128.90527</v>
      </c>
      <c r="K220" s="56">
        <v>37.802439999999997</v>
      </c>
      <c r="L220" s="56">
        <v>128.90428</v>
      </c>
      <c r="M220" s="56">
        <v>37.801259999999999</v>
      </c>
      <c r="N220" s="56">
        <v>128.90316000000001</v>
      </c>
    </row>
    <row r="221" spans="1:14" x14ac:dyDescent="0.2">
      <c r="A221" s="16" t="s">
        <v>4280</v>
      </c>
      <c r="B221" s="16" t="s">
        <v>4274</v>
      </c>
      <c r="C221" s="59">
        <v>3.7160000000000002</v>
      </c>
      <c r="D221" s="28">
        <v>3.472222222222222E-3</v>
      </c>
      <c r="E221" s="60">
        <v>37.804569999999998</v>
      </c>
      <c r="F221" s="60">
        <v>128.90543</v>
      </c>
      <c r="G221" s="60">
        <v>37.799819999999997</v>
      </c>
      <c r="H221" s="60">
        <v>128.90088</v>
      </c>
      <c r="I221" s="60">
        <v>37.793599999999998</v>
      </c>
      <c r="J221" s="60">
        <v>128.89658</v>
      </c>
      <c r="K221" s="60">
        <v>37.78642</v>
      </c>
      <c r="L221" s="60">
        <v>128.89251999999999</v>
      </c>
      <c r="M221" s="60">
        <v>37.785449999999997</v>
      </c>
      <c r="N221" s="60">
        <v>128.89048</v>
      </c>
    </row>
    <row r="222" spans="1:14" x14ac:dyDescent="0.2">
      <c r="A222" s="16" t="s">
        <v>4280</v>
      </c>
      <c r="B222" s="16" t="s">
        <v>4275</v>
      </c>
      <c r="C222" s="55">
        <v>4.569</v>
      </c>
      <c r="D222" s="29">
        <v>4.1666666666666666E-3</v>
      </c>
      <c r="E222" s="56">
        <v>37.802489999999999</v>
      </c>
      <c r="F222" s="56">
        <v>128.90429</v>
      </c>
      <c r="G222" s="56">
        <v>37.796720000000001</v>
      </c>
      <c r="H222" s="56">
        <v>128.89751999999999</v>
      </c>
      <c r="I222" s="56">
        <v>37.785820000000001</v>
      </c>
      <c r="J222" s="56">
        <v>128.89348000000001</v>
      </c>
      <c r="K222" s="56">
        <v>37.78322</v>
      </c>
      <c r="L222" s="56">
        <v>128.88999999999999</v>
      </c>
      <c r="M222" s="56">
        <v>37.77861</v>
      </c>
      <c r="N222" s="56">
        <v>128.886</v>
      </c>
    </row>
    <row r="223" spans="1:14" x14ac:dyDescent="0.2">
      <c r="A223" s="16" t="s">
        <v>4280</v>
      </c>
      <c r="B223" s="16" t="s">
        <v>4276</v>
      </c>
      <c r="C223" s="59">
        <v>4.726</v>
      </c>
      <c r="D223" s="28">
        <v>4.8611111111111112E-3</v>
      </c>
      <c r="E223" s="60">
        <v>37.797159999999998</v>
      </c>
      <c r="F223" s="60">
        <v>128.91202999999999</v>
      </c>
      <c r="G223" s="60">
        <v>37.795499999999997</v>
      </c>
      <c r="H223" s="60">
        <v>128.91356999999999</v>
      </c>
      <c r="I223" s="60">
        <v>37.787269999999999</v>
      </c>
      <c r="J223" s="60">
        <v>128.92319000000001</v>
      </c>
      <c r="K223" s="60">
        <v>37.786200000000001</v>
      </c>
      <c r="L223" s="60">
        <v>128.92438000000001</v>
      </c>
      <c r="M223" s="60">
        <v>37.779359999999997</v>
      </c>
      <c r="N223" s="60">
        <v>128.93394000000001</v>
      </c>
    </row>
    <row r="224" spans="1:14" x14ac:dyDescent="0.2">
      <c r="A224" s="16" t="s">
        <v>4280</v>
      </c>
      <c r="B224" s="16" t="s">
        <v>4277</v>
      </c>
      <c r="C224" s="55">
        <v>4.016</v>
      </c>
      <c r="D224" s="29">
        <v>4.1666666666666666E-3</v>
      </c>
      <c r="E224" s="56">
        <v>37.797759999999997</v>
      </c>
      <c r="F224" s="56">
        <v>128.91189</v>
      </c>
      <c r="G224" s="56">
        <v>37.79589</v>
      </c>
      <c r="H224" s="56">
        <v>128.91283000000001</v>
      </c>
      <c r="I224" s="56">
        <v>37.792969999999997</v>
      </c>
      <c r="J224" s="56">
        <v>128.91812999999999</v>
      </c>
      <c r="K224" s="56">
        <v>37.78669</v>
      </c>
      <c r="L224" s="56">
        <v>128.92346000000001</v>
      </c>
      <c r="M224" s="56">
        <v>37.78284</v>
      </c>
      <c r="N224" s="56">
        <v>128.93040999999999</v>
      </c>
    </row>
    <row r="225" spans="1:14" x14ac:dyDescent="0.2">
      <c r="A225" s="16" t="s">
        <v>4280</v>
      </c>
      <c r="B225" s="16" t="s">
        <v>4278</v>
      </c>
      <c r="C225" s="59">
        <v>1.827</v>
      </c>
      <c r="D225" s="28">
        <v>2.7777777777777779E-3</v>
      </c>
      <c r="E225" s="60">
        <v>37.800490000000003</v>
      </c>
      <c r="F225" s="60">
        <v>128.91121999999999</v>
      </c>
      <c r="G225" s="60">
        <v>37.797499999999999</v>
      </c>
      <c r="H225" s="60">
        <v>128.91194999999999</v>
      </c>
      <c r="I225" s="60">
        <v>37.796489999999999</v>
      </c>
      <c r="J225" s="60">
        <v>128.91225</v>
      </c>
      <c r="K225" s="60">
        <v>37.795760000000001</v>
      </c>
      <c r="L225" s="60">
        <v>128.91306</v>
      </c>
      <c r="M225" s="60">
        <v>37.793810000000001</v>
      </c>
      <c r="N225" s="60">
        <v>128.91716</v>
      </c>
    </row>
    <row r="226" spans="1:14" x14ac:dyDescent="0.2">
      <c r="A226" s="16" t="s">
        <v>4280</v>
      </c>
      <c r="B226" s="16" t="s">
        <v>4279</v>
      </c>
      <c r="C226" s="55">
        <v>2.7210000000000001</v>
      </c>
      <c r="D226" s="29">
        <v>3.472222222222222E-3</v>
      </c>
      <c r="E226" s="56">
        <v>37.797759999999997</v>
      </c>
      <c r="F226" s="56">
        <v>128.91189</v>
      </c>
      <c r="G226" s="56">
        <v>37.79589</v>
      </c>
      <c r="H226" s="56">
        <v>128.91283000000001</v>
      </c>
      <c r="I226" s="56">
        <v>37.793089999999999</v>
      </c>
      <c r="J226" s="56">
        <v>128.91415000000001</v>
      </c>
      <c r="K226" s="56">
        <v>37.790770000000002</v>
      </c>
      <c r="L226" s="56">
        <v>128.91135</v>
      </c>
      <c r="M226" s="56">
        <v>37.788319999999999</v>
      </c>
      <c r="N226" s="56">
        <v>128.90862999999999</v>
      </c>
    </row>
    <row r="227" spans="1:14" x14ac:dyDescent="0.2">
      <c r="A227" s="7" t="s">
        <v>4280</v>
      </c>
      <c r="B227" s="7" t="s">
        <v>4280</v>
      </c>
      <c r="C227" s="57">
        <v>0</v>
      </c>
      <c r="D227" s="26">
        <v>0</v>
      </c>
      <c r="E227" s="58">
        <f>'1.Locations'!D16</f>
        <v>37.801506297194202</v>
      </c>
      <c r="F227" s="58">
        <f>'1.Locations'!E16</f>
        <v>128.90875908361301</v>
      </c>
      <c r="G227" s="58">
        <f>'1.Locations'!D16</f>
        <v>37.801506297194202</v>
      </c>
      <c r="H227" s="58">
        <f>'1.Locations'!E16</f>
        <v>128.90875908361301</v>
      </c>
      <c r="I227" s="58">
        <f>'1.Locations'!D16</f>
        <v>37.801506297194202</v>
      </c>
      <c r="J227" s="58">
        <f>'1.Locations'!E16</f>
        <v>128.90875908361301</v>
      </c>
      <c r="K227" s="58">
        <f>'1.Locations'!D16</f>
        <v>37.801506297194202</v>
      </c>
      <c r="L227" s="58">
        <f>'1.Locations'!E16</f>
        <v>128.90875908361301</v>
      </c>
      <c r="M227" s="58">
        <f>'1.Locations'!D16</f>
        <v>37.801506297194202</v>
      </c>
      <c r="N227" s="58">
        <f>'1.Locations'!E16</f>
        <v>128.90875908361301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68A07-5951-B041-A42C-014D98C677D2}">
  <dimension ref="A1:M3"/>
  <sheetViews>
    <sheetView workbookViewId="0">
      <selection activeCell="E3" sqref="E3"/>
    </sheetView>
  </sheetViews>
  <sheetFormatPr baseColWidth="10" defaultRowHeight="15" x14ac:dyDescent="0.2"/>
  <cols>
    <col min="1" max="1" width="12.1640625" bestFit="1" customWidth="1"/>
    <col min="2" max="2" width="11" bestFit="1" customWidth="1"/>
    <col min="3" max="3" width="7.6640625" bestFit="1" customWidth="1"/>
    <col min="4" max="4" width="15" bestFit="1" customWidth="1"/>
    <col min="5" max="5" width="18" bestFit="1" customWidth="1"/>
    <col min="6" max="6" width="16.33203125" bestFit="1" customWidth="1"/>
    <col min="7" max="7" width="11.83203125" bestFit="1" customWidth="1"/>
    <col min="8" max="8" width="13.1640625" bestFit="1" customWidth="1"/>
    <col min="9" max="9" width="14.6640625" bestFit="1" customWidth="1"/>
    <col min="10" max="10" width="15.6640625" bestFit="1" customWidth="1"/>
    <col min="11" max="11" width="11.5" bestFit="1" customWidth="1"/>
    <col min="12" max="12" width="12.1640625" hidden="1" customWidth="1"/>
    <col min="13" max="13" width="16" bestFit="1" customWidth="1"/>
  </cols>
  <sheetData>
    <row r="1" spans="1:13" x14ac:dyDescent="0.2">
      <c r="A1" s="19" t="s">
        <v>584</v>
      </c>
      <c r="B1" s="19" t="s">
        <v>602</v>
      </c>
      <c r="C1" s="19" t="s">
        <v>520</v>
      </c>
      <c r="D1" s="19" t="s">
        <v>546</v>
      </c>
      <c r="E1" s="19" t="s">
        <v>522</v>
      </c>
      <c r="F1" s="19" t="s">
        <v>541</v>
      </c>
      <c r="G1" s="19" t="s">
        <v>532</v>
      </c>
      <c r="H1" s="19" t="s">
        <v>618</v>
      </c>
      <c r="I1" s="19" t="s">
        <v>539</v>
      </c>
      <c r="J1" s="19" t="s">
        <v>620</v>
      </c>
      <c r="K1" s="19" t="s">
        <v>576</v>
      </c>
      <c r="L1" s="19" t="s">
        <v>528</v>
      </c>
      <c r="M1" s="19" t="s">
        <v>564</v>
      </c>
    </row>
    <row r="2" spans="1:13" ht="16" thickBot="1" x14ac:dyDescent="0.25">
      <c r="A2" s="20" t="s">
        <v>527</v>
      </c>
      <c r="B2" s="61" t="s">
        <v>4304</v>
      </c>
      <c r="C2" s="61">
        <v>5</v>
      </c>
      <c r="D2" s="62">
        <v>0</v>
      </c>
      <c r="E2" s="62">
        <v>1</v>
      </c>
      <c r="F2" s="62">
        <v>1</v>
      </c>
      <c r="G2" s="62">
        <v>560</v>
      </c>
      <c r="H2" s="63">
        <v>0.33333333333333331</v>
      </c>
      <c r="I2" s="64">
        <v>0.375</v>
      </c>
      <c r="J2" s="64">
        <v>0.41666666666666669</v>
      </c>
      <c r="K2" s="61" t="s">
        <v>527</v>
      </c>
      <c r="L2" s="65">
        <f>IFERROR(MATCH(K2,'1.Locations'!$B$2:$B$2,0) - 1," ")</f>
        <v>0</v>
      </c>
      <c r="M2" s="61">
        <v>3</v>
      </c>
    </row>
    <row r="3" spans="1:13" ht="16" thickTop="1" x14ac:dyDescent="0.2"/>
  </sheetData>
  <dataValidations count="3">
    <dataValidation type="decimal" operator="greaterThan" allowBlank="1" showInputMessage="1" showErrorMessage="1" error="Please enter a nonnegative value" sqref="C2:E2" xr:uid="{69B43587-24ED-6B45-B8BD-1200639E576B}">
      <formula1>-0.0001</formula1>
    </dataValidation>
    <dataValidation type="decimal" operator="greaterThan" allowBlank="1" showInputMessage="1" showErrorMessage="1" error="Please enter a positive value" sqref="F2 J2" xr:uid="{224AB104-41FF-C54F-8002-5DD61AD3C559}">
      <formula1>0</formula1>
    </dataValidation>
    <dataValidation type="whole" operator="greaterThan" allowBlank="1" showInputMessage="1" showErrorMessage="1" error="Please enter a nonnegative integer value" sqref="G2" xr:uid="{53FA78F4-0C77-5E42-9BB0-230D8D692434}">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errorTitle="Warning" error="Please select a value from the list available in the selected cell." xr:uid="{F2FA36FE-0FCC-C14E-A781-7937194ABFD7}">
          <x14:formula1>
            <xm:f>'1.Locations'!$B$2:$B$2</xm:f>
          </x14:formula1>
          <xm:sqref>K2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A07F7-C910-784C-808D-C88A1C4F9883}">
  <dimension ref="A1:AV22"/>
  <sheetViews>
    <sheetView workbookViewId="0">
      <selection activeCell="G20" sqref="G20"/>
    </sheetView>
  </sheetViews>
  <sheetFormatPr baseColWidth="10" defaultRowHeight="15" x14ac:dyDescent="0.2"/>
  <cols>
    <col min="1" max="1" width="13.1640625" bestFit="1" customWidth="1"/>
    <col min="2" max="2" width="20.1640625" bestFit="1" customWidth="1"/>
    <col min="3" max="3" width="9.83203125" hidden="1" customWidth="1"/>
    <col min="4" max="4" width="15.1640625" bestFit="1" customWidth="1"/>
    <col min="5" max="5" width="10.6640625" bestFit="1" customWidth="1"/>
    <col min="6" max="6" width="10.33203125" bestFit="1" customWidth="1"/>
    <col min="7" max="7" width="13.1640625" bestFit="1" customWidth="1"/>
    <col min="8" max="8" width="11.6640625" bestFit="1" customWidth="1"/>
    <col min="9" max="9" width="13.1640625" bestFit="1" customWidth="1"/>
    <col min="10" max="10" width="12.6640625" hidden="1" customWidth="1"/>
    <col min="11" max="11" width="14" hidden="1" customWidth="1"/>
    <col min="12" max="12" width="15.5" hidden="1" customWidth="1"/>
    <col min="13" max="13" width="16.83203125" hidden="1" customWidth="1"/>
    <col min="14" max="14" width="4.83203125" bestFit="1" customWidth="1"/>
    <col min="18" max="18" width="9.5" bestFit="1" customWidth="1"/>
    <col min="19" max="19" width="12.6640625" bestFit="1" customWidth="1"/>
    <col min="20" max="20" width="9.83203125" hidden="1" customWidth="1"/>
    <col min="21" max="21" width="15.1640625" bestFit="1" customWidth="1"/>
    <col min="22" max="22" width="10.6640625" bestFit="1" customWidth="1"/>
    <col min="23" max="23" width="10.33203125" bestFit="1" customWidth="1"/>
    <col min="24" max="24" width="13.1640625" bestFit="1" customWidth="1"/>
    <col min="25" max="25" width="11.6640625" bestFit="1" customWidth="1"/>
    <col min="26" max="26" width="13.1640625" bestFit="1" customWidth="1"/>
    <col min="27" max="27" width="12.6640625" hidden="1" customWidth="1"/>
    <col min="28" max="28" width="14" hidden="1" customWidth="1"/>
    <col min="29" max="29" width="15.5" hidden="1" customWidth="1"/>
    <col min="30" max="30" width="16.83203125" hidden="1" customWidth="1"/>
    <col min="31" max="31" width="4.83203125" bestFit="1" customWidth="1"/>
    <col min="35" max="35" width="9.5" bestFit="1" customWidth="1"/>
    <col min="36" max="36" width="12.6640625" bestFit="1" customWidth="1"/>
    <col min="37" max="37" width="9.83203125" hidden="1" customWidth="1"/>
    <col min="38" max="38" width="15.1640625" bestFit="1" customWidth="1"/>
    <col min="39" max="39" width="10.6640625" bestFit="1" customWidth="1"/>
    <col min="40" max="40" width="10.33203125" bestFit="1" customWidth="1"/>
    <col min="41" max="41" width="13.1640625" bestFit="1" customWidth="1"/>
    <col min="42" max="42" width="11.6640625" bestFit="1" customWidth="1"/>
    <col min="43" max="43" width="13.1640625" bestFit="1" customWidth="1"/>
    <col min="44" max="44" width="12.6640625" hidden="1" customWidth="1"/>
    <col min="45" max="45" width="14" hidden="1" customWidth="1"/>
    <col min="46" max="46" width="15.5" hidden="1" customWidth="1"/>
    <col min="47" max="47" width="16.83203125" hidden="1" customWidth="1"/>
    <col min="48" max="48" width="4.83203125" bestFit="1" customWidth="1"/>
  </cols>
  <sheetData>
    <row r="1" spans="1:48" s="19" customFormat="1" x14ac:dyDescent="0.2">
      <c r="A1" s="19" t="s">
        <v>245</v>
      </c>
      <c r="B1" s="81">
        <f>+G3+X3+AO3</f>
        <v>-22.907</v>
      </c>
    </row>
    <row r="2" spans="1:48" s="19" customFormat="1" x14ac:dyDescent="0.2"/>
    <row r="3" spans="1:48" s="19" customFormat="1" x14ac:dyDescent="0.2">
      <c r="A3" s="19" t="s">
        <v>603</v>
      </c>
      <c r="B3" s="19" t="s">
        <v>4305</v>
      </c>
      <c r="D3" s="19" t="s">
        <v>587</v>
      </c>
      <c r="E3" s="82">
        <f>COUNTA(B6:B20)</f>
        <v>15</v>
      </c>
      <c r="F3" s="19" t="s">
        <v>562</v>
      </c>
      <c r="G3" s="83">
        <f>INDEX(I5:I20,E3 + 1)-(INDEX(D5:D20,E3+ 1) * '3.Vehicles'!$E$2)- IF(E3 &gt; 1, '3.Vehicles'!$D$2, 0)</f>
        <v>-22.907</v>
      </c>
      <c r="R3" s="19" t="s">
        <v>603</v>
      </c>
      <c r="S3" s="19" t="s">
        <v>4306</v>
      </c>
      <c r="U3" s="19" t="s">
        <v>587</v>
      </c>
      <c r="V3" s="82">
        <f>COUNTA(S6:S20)</f>
        <v>0</v>
      </c>
      <c r="W3" s="19" t="s">
        <v>562</v>
      </c>
      <c r="X3" s="83">
        <f>INDEX(Z5:Z20,V3 + 1)-(INDEX(U5:U20,V3+ 1) * '3.Vehicles'!$E$2)- IF(V3 &gt; 1, '3.Vehicles'!$D$2, 0)</f>
        <v>0</v>
      </c>
      <c r="AI3" s="19" t="s">
        <v>603</v>
      </c>
      <c r="AJ3" s="19" t="s">
        <v>4307</v>
      </c>
      <c r="AL3" s="19" t="s">
        <v>587</v>
      </c>
      <c r="AM3" s="82">
        <f>COUNTA(AJ6:AJ20)</f>
        <v>0</v>
      </c>
      <c r="AN3" s="19" t="s">
        <v>562</v>
      </c>
      <c r="AO3" s="83">
        <f>INDEX(AQ5:AQ20,AM3 + 1)-(INDEX(AL5:AL20,AM3+ 1) * '3.Vehicles'!$E$2)- IF(AM3 &gt; 1, '3.Vehicles'!$D$2, 0)</f>
        <v>0</v>
      </c>
    </row>
    <row r="4" spans="1:48" s="19" customFormat="1" x14ac:dyDescent="0.2">
      <c r="A4" s="19" t="s">
        <v>586</v>
      </c>
      <c r="B4" s="19" t="s">
        <v>552</v>
      </c>
      <c r="C4" s="19" t="s">
        <v>551</v>
      </c>
      <c r="D4" s="19" t="s">
        <v>533</v>
      </c>
      <c r="E4" s="19" t="s">
        <v>538</v>
      </c>
      <c r="F4" s="19" t="s">
        <v>515</v>
      </c>
      <c r="G4" s="19" t="s">
        <v>526</v>
      </c>
      <c r="H4" s="19" t="s">
        <v>619</v>
      </c>
      <c r="I4" s="19" t="s">
        <v>573</v>
      </c>
      <c r="J4" s="19" t="s">
        <v>567</v>
      </c>
      <c r="K4" s="19" t="s">
        <v>525</v>
      </c>
      <c r="L4" s="19" t="s">
        <v>523</v>
      </c>
      <c r="M4" s="19" t="s">
        <v>588</v>
      </c>
      <c r="N4" s="19" t="s">
        <v>550</v>
      </c>
      <c r="R4" s="19" t="s">
        <v>586</v>
      </c>
      <c r="S4" s="19" t="s">
        <v>552</v>
      </c>
      <c r="T4" s="19" t="s">
        <v>551</v>
      </c>
      <c r="U4" s="19" t="s">
        <v>533</v>
      </c>
      <c r="V4" s="19" t="s">
        <v>538</v>
      </c>
      <c r="W4" s="19" t="s">
        <v>515</v>
      </c>
      <c r="X4" s="19" t="s">
        <v>526</v>
      </c>
      <c r="Y4" s="19" t="s">
        <v>619</v>
      </c>
      <c r="Z4" s="19" t="s">
        <v>573</v>
      </c>
      <c r="AA4" s="19" t="s">
        <v>567</v>
      </c>
      <c r="AB4" s="19" t="s">
        <v>525</v>
      </c>
      <c r="AC4" s="19" t="s">
        <v>523</v>
      </c>
      <c r="AD4" s="19" t="s">
        <v>588</v>
      </c>
      <c r="AE4" s="19" t="s">
        <v>550</v>
      </c>
      <c r="AI4" s="19" t="s">
        <v>586</v>
      </c>
      <c r="AJ4" s="19" t="s">
        <v>552</v>
      </c>
      <c r="AK4" s="19" t="s">
        <v>551</v>
      </c>
      <c r="AL4" s="19" t="s">
        <v>533</v>
      </c>
      <c r="AM4" s="19" t="s">
        <v>538</v>
      </c>
      <c r="AN4" s="19" t="s">
        <v>515</v>
      </c>
      <c r="AO4" s="19" t="s">
        <v>526</v>
      </c>
      <c r="AP4" s="19" t="s">
        <v>619</v>
      </c>
      <c r="AQ4" s="19" t="s">
        <v>573</v>
      </c>
      <c r="AR4" s="19" t="s">
        <v>567</v>
      </c>
      <c r="AS4" s="19" t="s">
        <v>525</v>
      </c>
      <c r="AT4" s="19" t="s">
        <v>523</v>
      </c>
      <c r="AU4" s="19" t="s">
        <v>588</v>
      </c>
      <c r="AV4" s="19" t="s">
        <v>550</v>
      </c>
    </row>
    <row r="5" spans="1:48" x14ac:dyDescent="0.2">
      <c r="A5" s="22">
        <v>0</v>
      </c>
      <c r="B5" s="22" t="str">
        <f>'1.Locations'!$B$2</f>
        <v>Depot</v>
      </c>
      <c r="C5" s="22">
        <f>IFERROR(MATCH(B5,'1.Locations'!$B$2:$B$16, 0) - 1," ")</f>
        <v>0</v>
      </c>
      <c r="D5" s="67">
        <v>0</v>
      </c>
      <c r="E5" s="68">
        <v>0</v>
      </c>
      <c r="F5" s="69"/>
      <c r="G5" s="69">
        <f>'3.Vehicles'!$H$2</f>
        <v>0.33333333333333331</v>
      </c>
      <c r="H5" s="68">
        <v>0</v>
      </c>
      <c r="I5" s="66">
        <v>0</v>
      </c>
      <c r="J5" s="67">
        <v>0</v>
      </c>
      <c r="K5" s="67">
        <v>0</v>
      </c>
      <c r="L5" s="67">
        <v>0</v>
      </c>
      <c r="M5" s="67">
        <f>IFERROR(IF(ISNUMBER(C5),IF(B6 = B5, 0, IF(B6 = "", 0, M6 + K6))," ")," ")</f>
        <v>0</v>
      </c>
      <c r="N5" s="66">
        <f t="shared" ref="N5:N20" si="0">IFERROR(IF(ISNUMBER(C5),L5 + M5," ")," ")</f>
        <v>0</v>
      </c>
      <c r="R5" s="22">
        <v>0</v>
      </c>
      <c r="S5" s="22" t="str">
        <f>'1.Locations'!$B$2</f>
        <v>Depot</v>
      </c>
      <c r="T5" s="22">
        <f>IFERROR(MATCH(S5,'1.Locations'!$B$2:$B$16, 0) - 1," ")</f>
        <v>0</v>
      </c>
      <c r="U5" s="67">
        <v>0</v>
      </c>
      <c r="V5" s="68">
        <v>0</v>
      </c>
      <c r="W5" s="69"/>
      <c r="X5" s="69">
        <f>'3.Vehicles'!$H$2</f>
        <v>0.33333333333333331</v>
      </c>
      <c r="Y5" s="68">
        <v>0</v>
      </c>
      <c r="Z5" s="66">
        <v>0</v>
      </c>
      <c r="AA5" s="67">
        <v>0</v>
      </c>
      <c r="AB5" s="67">
        <v>0</v>
      </c>
      <c r="AC5" s="67">
        <v>0</v>
      </c>
      <c r="AD5" s="67">
        <f>IFERROR(IF(ISNUMBER(T5),IF(S6 = S5, 0, IF(S6 = "", 0, AD6 + AB6))," ")," ")</f>
        <v>0</v>
      </c>
      <c r="AE5" s="66">
        <f t="shared" ref="AE5:AE20" si="1">IFERROR(IF(ISNUMBER(T5),AC5 + AD5," ")," ")</f>
        <v>0</v>
      </c>
      <c r="AI5" s="22">
        <v>0</v>
      </c>
      <c r="AJ5" s="22" t="str">
        <f>'1.Locations'!$B$2</f>
        <v>Depot</v>
      </c>
      <c r="AK5" s="22">
        <f>IFERROR(MATCH(AJ5,'1.Locations'!$B$2:$B$16, 0) - 1," ")</f>
        <v>0</v>
      </c>
      <c r="AL5" s="67">
        <v>0</v>
      </c>
      <c r="AM5" s="68">
        <v>0</v>
      </c>
      <c r="AN5" s="69"/>
      <c r="AO5" s="69">
        <f>'3.Vehicles'!$H$2</f>
        <v>0.33333333333333331</v>
      </c>
      <c r="AP5" s="68">
        <v>0</v>
      </c>
      <c r="AQ5" s="66">
        <v>0</v>
      </c>
      <c r="AR5" s="67">
        <v>0</v>
      </c>
      <c r="AS5" s="67">
        <v>0</v>
      </c>
      <c r="AT5" s="67">
        <v>0</v>
      </c>
      <c r="AU5" s="67">
        <f>IFERROR(IF(ISNUMBER(AK5),IF(AJ6 = AJ5, 0, IF(AJ6 = "", 0, AU6 + AS6))," ")," ")</f>
        <v>0</v>
      </c>
      <c r="AV5" s="66">
        <f t="shared" ref="AV5:AV20" si="2">IFERROR(IF(ISNUMBER(AK5),AT5 + AU5," ")," ")</f>
        <v>0</v>
      </c>
    </row>
    <row r="6" spans="1:48" x14ac:dyDescent="0.2">
      <c r="A6" s="27">
        <v>1</v>
      </c>
      <c r="B6" s="75" t="s">
        <v>4275</v>
      </c>
      <c r="C6" s="76">
        <f>IFERROR(MATCH(B6,'1.Locations'!$B$2:$B$16, 0) - 1," ")</f>
        <v>9</v>
      </c>
      <c r="D6" s="77">
        <f>IFERROR(IF(ISNUMBER(C6),INDEX('2.Distances'!$C$2:$C$226,C5*15+C6 + 2) +D5," ")," ")</f>
        <v>3.6659999999999999</v>
      </c>
      <c r="E6" s="78">
        <f>IFERROR(IF(ISNUMBER(C6),'3.Vehicles'!$F$2 * INDEX('2.Distances'!$D$2:$D$226,C5*15+C6 + 2) +E5," ")," ")</f>
        <v>4.1666666666666666E-3</v>
      </c>
      <c r="F6" s="79">
        <f>IFERROR(IF(ISNUMBER(C6),'3.Vehicles'!$F$2 * INDEX('2.Distances'!$D$2:$D$226,C5*15+C6 + 2) +G5," ")," ")</f>
        <v>0.33749999999999997</v>
      </c>
      <c r="G6" s="79">
        <f>IFERROR(IF(AND(C5&lt;&gt;C6,ISNUMBER(F6)),INDEX('1.Locations'!$I$2:$I$16,C6 + 1) + MAX(F6,INDEX('1.Locations'!$F$2:$F$16,C6 + 1))," ")," ")</f>
        <v>0.33749999999999997</v>
      </c>
      <c r="H6" s="78">
        <f>IFERROR(IF(AND(B6 = B5, B7 = ""), F6 - G5, G6 - G5)," ")</f>
        <v>4.1666666666666519E-3</v>
      </c>
      <c r="I6" s="76">
        <f>IFERROR(IF(ISNUMBER(C6),INDEX('1.Locations'!$L$2:$L$16,C6 + 1) + I5," ")," ")</f>
        <v>0</v>
      </c>
      <c r="J6" s="77">
        <f>IFERROR(IF(ISNUMBER(C6),INDEX('1.Locations'!$J$2:$J$16,C6 + 1)," ")," ")</f>
        <v>0</v>
      </c>
      <c r="K6" s="77">
        <f>IFERROR(IF(ISNUMBER(C6),INDEX('1.Locations'!$K$2:$K$16,C6 + 1)," ")," ")</f>
        <v>0</v>
      </c>
      <c r="L6" s="77">
        <f>IFERROR(IF(ISNUMBER(C6),IF(B6 = B5, 0, J6 + L5)," ")," ")</f>
        <v>0</v>
      </c>
      <c r="M6" s="77">
        <f>IFERROR(IF(ISNUMBER(C6),IF(B7 = B5, 0, IF(B7 = "", 0, M7 + K7))," ")," ")</f>
        <v>0</v>
      </c>
      <c r="N6" s="76">
        <f t="shared" si="0"/>
        <v>0</v>
      </c>
      <c r="R6" s="27">
        <v>1</v>
      </c>
      <c r="S6" s="75"/>
      <c r="T6" s="76" t="str">
        <f>IFERROR(MATCH(S6,'1.Locations'!$B$2:$B$16, 0) - 1," ")</f>
        <v xml:space="preserve"> </v>
      </c>
      <c r="U6" s="77" t="str">
        <f>IFERROR(IF(ISNUMBER(T6),INDEX('2.Distances'!$C$2:$C$226,T5*15+T6 + 2) +U5," ")," ")</f>
        <v xml:space="preserve"> </v>
      </c>
      <c r="V6" s="78" t="str">
        <f>IFERROR(IF(ISNUMBER(T6),'3.Vehicles'!$F$2 * INDEX('2.Distances'!$D$2:$D$226,T5*15+T6 + 2) +V5," ")," ")</f>
        <v xml:space="preserve"> </v>
      </c>
      <c r="W6" s="79" t="str">
        <f>IFERROR(IF(ISNUMBER(T6),'3.Vehicles'!$F$2 * INDEX('2.Distances'!$D$2:$D$226,T5*15+T6 + 2) +X5," ")," ")</f>
        <v xml:space="preserve"> </v>
      </c>
      <c r="X6" s="79" t="str">
        <f>IFERROR(IF(AND(T5&lt;&gt;T6,ISNUMBER(W6)),INDEX('1.Locations'!$I$2:$I$16,T6 + 1) + MAX(W6,INDEX('1.Locations'!$F$2:$F$16,T6 + 1))," ")," ")</f>
        <v xml:space="preserve"> </v>
      </c>
      <c r="Y6" s="78" t="str">
        <f>IFERROR(IF(AND(S6 = S5, S7 = ""), W6 - X5, X6 - X5)," ")</f>
        <v xml:space="preserve"> </v>
      </c>
      <c r="Z6" s="76" t="str">
        <f>IFERROR(IF(ISNUMBER(T6),INDEX('1.Locations'!$L$2:$L$16,T6 + 1) + Z5," ")," ")</f>
        <v xml:space="preserve"> </v>
      </c>
      <c r="AA6" s="77" t="str">
        <f>IFERROR(IF(ISNUMBER(T6),INDEX('1.Locations'!$J$2:$J$16,T6 + 1)," ")," ")</f>
        <v xml:space="preserve"> </v>
      </c>
      <c r="AB6" s="77" t="str">
        <f>IFERROR(IF(ISNUMBER(T6),INDEX('1.Locations'!$K$2:$K$16,T6 + 1)," ")," ")</f>
        <v xml:space="preserve"> </v>
      </c>
      <c r="AC6" s="77" t="str">
        <f>IFERROR(IF(ISNUMBER(T6),IF(S6 = S5, 0, AA6 + AC5)," ")," ")</f>
        <v xml:space="preserve"> </v>
      </c>
      <c r="AD6" s="77" t="str">
        <f>IFERROR(IF(ISNUMBER(T6),IF(S7 = S5, 0, IF(S7 = "", 0, AD7 + AB7))," ")," ")</f>
        <v xml:space="preserve"> </v>
      </c>
      <c r="AE6" s="76" t="str">
        <f t="shared" si="1"/>
        <v xml:space="preserve"> </v>
      </c>
      <c r="AI6" s="27">
        <v>1</v>
      </c>
      <c r="AJ6" s="75"/>
      <c r="AK6" s="76" t="str">
        <f>IFERROR(MATCH(AJ6,'1.Locations'!$B$2:$B$16, 0) - 1," ")</f>
        <v xml:space="preserve"> </v>
      </c>
      <c r="AL6" s="77" t="str">
        <f>IFERROR(IF(ISNUMBER(AK6),INDEX('2.Distances'!$C$2:$C$226,AK5*15+AK6 + 2) +AL5," ")," ")</f>
        <v xml:space="preserve"> </v>
      </c>
      <c r="AM6" s="78" t="str">
        <f>IFERROR(IF(ISNUMBER(AK6),'3.Vehicles'!$F$2 * INDEX('2.Distances'!$D$2:$D$226,AK5*15+AK6 + 2) +AM5," ")," ")</f>
        <v xml:space="preserve"> </v>
      </c>
      <c r="AN6" s="79" t="str">
        <f>IFERROR(IF(ISNUMBER(AK6),'3.Vehicles'!$F$2 * INDEX('2.Distances'!$D$2:$D$226,AK5*15+AK6 + 2) +AO5," ")," ")</f>
        <v xml:space="preserve"> </v>
      </c>
      <c r="AO6" s="79" t="str">
        <f>IFERROR(IF(AND(AK5&lt;&gt;AK6,ISNUMBER(AN6)),INDEX('1.Locations'!$I$2:$I$16,AK6 + 1) + MAX(AN6,INDEX('1.Locations'!$F$2:$F$16,AK6 + 1))," ")," ")</f>
        <v xml:space="preserve"> </v>
      </c>
      <c r="AP6" s="78" t="str">
        <f>IFERROR(IF(AND(AJ6 = AJ5, AJ7 = ""), AN6 - AO5, AO6 - AO5)," ")</f>
        <v xml:space="preserve"> </v>
      </c>
      <c r="AQ6" s="76" t="str">
        <f>IFERROR(IF(ISNUMBER(AK6),INDEX('1.Locations'!$L$2:$L$16,AK6 + 1) + AQ5," ")," ")</f>
        <v xml:space="preserve"> </v>
      </c>
      <c r="AR6" s="77" t="str">
        <f>IFERROR(IF(ISNUMBER(AK6),INDEX('1.Locations'!$J$2:$J$16,AK6 + 1)," ")," ")</f>
        <v xml:space="preserve"> </v>
      </c>
      <c r="AS6" s="77" t="str">
        <f>IFERROR(IF(ISNUMBER(AK6),INDEX('1.Locations'!$K$2:$K$16,AK6 + 1)," ")," ")</f>
        <v xml:space="preserve"> </v>
      </c>
      <c r="AT6" s="77" t="str">
        <f>IFERROR(IF(ISNUMBER(AK6),IF(AJ6 = AJ5, 0, AR6 + AT5)," ")," ")</f>
        <v xml:space="preserve"> </v>
      </c>
      <c r="AU6" s="77" t="str">
        <f>IFERROR(IF(ISNUMBER(AK6),IF(AJ7 = AJ5, 0, IF(AJ7 = "", 0, AU7 + AS7))," ")," ")</f>
        <v xml:space="preserve"> </v>
      </c>
      <c r="AV6" s="76" t="str">
        <f t="shared" si="2"/>
        <v xml:space="preserve"> </v>
      </c>
    </row>
    <row r="7" spans="1:48" x14ac:dyDescent="0.2">
      <c r="A7" s="27">
        <v>2</v>
      </c>
      <c r="B7" s="80" t="s">
        <v>4274</v>
      </c>
      <c r="C7" s="76">
        <f>IFERROR(MATCH(B7,'1.Locations'!$B$2:$B$16, 0) - 1," ")</f>
        <v>8</v>
      </c>
      <c r="D7" s="77">
        <f>IFERROR(IF(ISNUMBER(C7),INDEX('2.Distances'!$C$2:$C$226,C6*15+C7 + 2) +D6," ")," ")</f>
        <v>4.7039999999999997</v>
      </c>
      <c r="E7" s="78">
        <f>IFERROR(IF(ISNUMBER(C7),'3.Vehicles'!$F$2 * INDEX('2.Distances'!$D$2:$D$226,C6*15+C7 + 2) +E6," ")," ")</f>
        <v>5.5555555555555558E-3</v>
      </c>
      <c r="F7" s="79">
        <f>IFERROR(IF(ISNUMBER(C7),'3.Vehicles'!$F$2 * INDEX('2.Distances'!$D$2:$D$226,C6*15+C7 + 2) +G6," ")," ")</f>
        <v>0.33888888888888885</v>
      </c>
      <c r="G7" s="79">
        <f>IFERROR(IF(AND(C5&lt;&gt;C7,ISNUMBER(F7)),INDEX('1.Locations'!$I$2:$I$16,C7 + 1) + MAX(F7,INDEX('1.Locations'!$F$2:$F$16,C7 + 1))," ")," ")</f>
        <v>0.33888888888888885</v>
      </c>
      <c r="H7" s="78">
        <f>IFERROR(IF(AND(B7 = B5, B8 = ""), F7 - G5, G7 - G5)," ")</f>
        <v>5.5555555555555358E-3</v>
      </c>
      <c r="I7" s="76">
        <f>IFERROR(IF(ISNUMBER(C7),INDEX('1.Locations'!$L$2:$L$16,C7 + 1) + I6," ")," ")</f>
        <v>0</v>
      </c>
      <c r="J7" s="77">
        <f>IFERROR(IF(ISNUMBER(C7),INDEX('1.Locations'!$J$2:$J$16,C7 + 1)," ")," ")</f>
        <v>0</v>
      </c>
      <c r="K7" s="77">
        <f>IFERROR(IF(ISNUMBER(C7),INDEX('1.Locations'!$K$2:$K$16,C7 + 1)," ")," ")</f>
        <v>0</v>
      </c>
      <c r="L7" s="77">
        <f>IFERROR(IF(ISNUMBER(C7),IF(B7 = B5, 0, J7 + L6)," ")," ")</f>
        <v>0</v>
      </c>
      <c r="M7" s="77">
        <f>IFERROR(IF(ISNUMBER(C7),IF(B8 = B5, 0, IF(B8 = "", 0, M8 + K8))," ")," ")</f>
        <v>0</v>
      </c>
      <c r="N7" s="76">
        <f t="shared" si="0"/>
        <v>0</v>
      </c>
      <c r="R7" s="27">
        <v>2</v>
      </c>
      <c r="S7" s="80"/>
      <c r="T7" s="76" t="str">
        <f>IFERROR(MATCH(S7,'1.Locations'!$B$2:$B$16, 0) - 1," ")</f>
        <v xml:space="preserve"> </v>
      </c>
      <c r="U7" s="77" t="str">
        <f>IFERROR(IF(ISNUMBER(T7),INDEX('2.Distances'!$C$2:$C$226,T6*15+T7 + 2) +U6," ")," ")</f>
        <v xml:space="preserve"> </v>
      </c>
      <c r="V7" s="78" t="str">
        <f>IFERROR(IF(ISNUMBER(T7),'3.Vehicles'!$F$2 * INDEX('2.Distances'!$D$2:$D$226,T6*15+T7 + 2) +V6," ")," ")</f>
        <v xml:space="preserve"> </v>
      </c>
      <c r="W7" s="79" t="str">
        <f>IFERROR(IF(ISNUMBER(T7),'3.Vehicles'!$F$2 * INDEX('2.Distances'!$D$2:$D$226,T6*15+T7 + 2) +X6," ")," ")</f>
        <v xml:space="preserve"> </v>
      </c>
      <c r="X7" s="79" t="str">
        <f>IFERROR(IF(AND(T5&lt;&gt;T7,ISNUMBER(W7)),INDEX('1.Locations'!$I$2:$I$16,T7 + 1) + MAX(W7,INDEX('1.Locations'!$F$2:$F$16,T7 + 1))," ")," ")</f>
        <v xml:space="preserve"> </v>
      </c>
      <c r="Y7" s="78" t="str">
        <f>IFERROR(IF(AND(S7 = S5, S8 = ""), W7 - X5, X7 - X5)," ")</f>
        <v xml:space="preserve"> </v>
      </c>
      <c r="Z7" s="76" t="str">
        <f>IFERROR(IF(ISNUMBER(T7),INDEX('1.Locations'!$L$2:$L$16,T7 + 1) + Z6," ")," ")</f>
        <v xml:space="preserve"> </v>
      </c>
      <c r="AA7" s="77" t="str">
        <f>IFERROR(IF(ISNUMBER(T7),INDEX('1.Locations'!$J$2:$J$16,T7 + 1)," ")," ")</f>
        <v xml:space="preserve"> </v>
      </c>
      <c r="AB7" s="77" t="str">
        <f>IFERROR(IF(ISNUMBER(T7),INDEX('1.Locations'!$K$2:$K$16,T7 + 1)," ")," ")</f>
        <v xml:space="preserve"> </v>
      </c>
      <c r="AC7" s="77" t="str">
        <f>IFERROR(IF(ISNUMBER(T7),IF(S7 = S5, 0, AA7 + AC6)," ")," ")</f>
        <v xml:space="preserve"> </v>
      </c>
      <c r="AD7" s="77" t="str">
        <f>IFERROR(IF(ISNUMBER(T7),IF(S8 = S5, 0, IF(S8 = "", 0, AD8 + AB8))," ")," ")</f>
        <v xml:space="preserve"> </v>
      </c>
      <c r="AE7" s="76" t="str">
        <f t="shared" si="1"/>
        <v xml:space="preserve"> </v>
      </c>
      <c r="AI7" s="27">
        <v>2</v>
      </c>
      <c r="AJ7" s="80"/>
      <c r="AK7" s="76" t="str">
        <f>IFERROR(MATCH(AJ7,'1.Locations'!$B$2:$B$16, 0) - 1," ")</f>
        <v xml:space="preserve"> </v>
      </c>
      <c r="AL7" s="77" t="str">
        <f>IFERROR(IF(ISNUMBER(AK7),INDEX('2.Distances'!$C$2:$C$226,AK6*15+AK7 + 2) +AL6," ")," ")</f>
        <v xml:space="preserve"> </v>
      </c>
      <c r="AM7" s="78" t="str">
        <f>IFERROR(IF(ISNUMBER(AK7),'3.Vehicles'!$F$2 * INDEX('2.Distances'!$D$2:$D$226,AK6*15+AK7 + 2) +AM6," ")," ")</f>
        <v xml:space="preserve"> </v>
      </c>
      <c r="AN7" s="79" t="str">
        <f>IFERROR(IF(ISNUMBER(AK7),'3.Vehicles'!$F$2 * INDEX('2.Distances'!$D$2:$D$226,AK6*15+AK7 + 2) +AO6," ")," ")</f>
        <v xml:space="preserve"> </v>
      </c>
      <c r="AO7" s="79" t="str">
        <f>IFERROR(IF(AND(AK5&lt;&gt;AK7,ISNUMBER(AN7)),INDEX('1.Locations'!$I$2:$I$16,AK7 + 1) + MAX(AN7,INDEX('1.Locations'!$F$2:$F$16,AK7 + 1))," ")," ")</f>
        <v xml:space="preserve"> </v>
      </c>
      <c r="AP7" s="78" t="str">
        <f>IFERROR(IF(AND(AJ7 = AJ5, AJ8 = ""), AN7 - AO5, AO7 - AO5)," ")</f>
        <v xml:space="preserve"> </v>
      </c>
      <c r="AQ7" s="76" t="str">
        <f>IFERROR(IF(ISNUMBER(AK7),INDEX('1.Locations'!$L$2:$L$16,AK7 + 1) + AQ6," ")," ")</f>
        <v xml:space="preserve"> </v>
      </c>
      <c r="AR7" s="77" t="str">
        <f>IFERROR(IF(ISNUMBER(AK7),INDEX('1.Locations'!$J$2:$J$16,AK7 + 1)," ")," ")</f>
        <v xml:space="preserve"> </v>
      </c>
      <c r="AS7" s="77" t="str">
        <f>IFERROR(IF(ISNUMBER(AK7),INDEX('1.Locations'!$K$2:$K$16,AK7 + 1)," ")," ")</f>
        <v xml:space="preserve"> </v>
      </c>
      <c r="AT7" s="77" t="str">
        <f>IFERROR(IF(ISNUMBER(AK7),IF(AJ7 = AJ5, 0, AR7 + AT6)," ")," ")</f>
        <v xml:space="preserve"> </v>
      </c>
      <c r="AU7" s="77" t="str">
        <f>IFERROR(IF(ISNUMBER(AK7),IF(AJ8 = AJ5, 0, IF(AJ8 = "", 0, AU8 + AS8))," ")," ")</f>
        <v xml:space="preserve"> </v>
      </c>
      <c r="AV7" s="76" t="str">
        <f t="shared" si="2"/>
        <v xml:space="preserve"> </v>
      </c>
    </row>
    <row r="8" spans="1:48" x14ac:dyDescent="0.2">
      <c r="A8" s="27">
        <v>3</v>
      </c>
      <c r="B8" s="75" t="s">
        <v>4272</v>
      </c>
      <c r="C8" s="76">
        <f>IFERROR(MATCH(B8,'1.Locations'!$B$2:$B$16, 0) - 1," ")</f>
        <v>6</v>
      </c>
      <c r="D8" s="77">
        <f>IFERROR(IF(ISNUMBER(C8),INDEX('2.Distances'!$C$2:$C$226,C7*15+C8 + 2) +D7," ")," ")</f>
        <v>6.6259999999999994</v>
      </c>
      <c r="E8" s="78">
        <f>IFERROR(IF(ISNUMBER(C8),'3.Vehicles'!$F$2 * INDEX('2.Distances'!$D$2:$D$226,C7*15+C8 + 2) +E7," ")," ")</f>
        <v>7.6388888888888895E-3</v>
      </c>
      <c r="F8" s="79">
        <f>IFERROR(IF(ISNUMBER(C8),'3.Vehicles'!$F$2 * INDEX('2.Distances'!$D$2:$D$226,C7*15+C8 + 2) +G7," ")," ")</f>
        <v>0.34097222222222218</v>
      </c>
      <c r="G8" s="79">
        <f>IFERROR(IF(AND(C5&lt;&gt;C8,ISNUMBER(F8)),INDEX('1.Locations'!$I$2:$I$16,C8 + 1) + MAX(F8,INDEX('1.Locations'!$F$2:$F$16,C8 + 1))," ")," ")</f>
        <v>0.34097222222222218</v>
      </c>
      <c r="H8" s="78">
        <f>IFERROR(IF(AND(B8 = B5, B9 = ""), F8 - G5, G8 - G5)," ")</f>
        <v>7.6388888888888618E-3</v>
      </c>
      <c r="I8" s="76">
        <f>IFERROR(IF(ISNUMBER(C8),INDEX('1.Locations'!$L$2:$L$16,C8 + 1) + I7," ")," ")</f>
        <v>0</v>
      </c>
      <c r="J8" s="77">
        <f>IFERROR(IF(ISNUMBER(C8),INDEX('1.Locations'!$J$2:$J$16,C8 + 1)," ")," ")</f>
        <v>0</v>
      </c>
      <c r="K8" s="77">
        <f>IFERROR(IF(ISNUMBER(C8),INDEX('1.Locations'!$K$2:$K$16,C8 + 1)," ")," ")</f>
        <v>0</v>
      </c>
      <c r="L8" s="77">
        <f>IFERROR(IF(ISNUMBER(C8),IF(B8 = B5, 0, J8 + L7)," ")," ")</f>
        <v>0</v>
      </c>
      <c r="M8" s="77">
        <f>IFERROR(IF(ISNUMBER(C8),IF(B9 = B5, 0, IF(B9 = "", 0, M9 + K9))," ")," ")</f>
        <v>0</v>
      </c>
      <c r="N8" s="76">
        <f t="shared" si="0"/>
        <v>0</v>
      </c>
      <c r="R8" s="27">
        <v>3</v>
      </c>
      <c r="S8" s="75"/>
      <c r="T8" s="76" t="str">
        <f>IFERROR(MATCH(S8,'1.Locations'!$B$2:$B$16, 0) - 1," ")</f>
        <v xml:space="preserve"> </v>
      </c>
      <c r="U8" s="77" t="str">
        <f>IFERROR(IF(ISNUMBER(T8),INDEX('2.Distances'!$C$2:$C$226,T7*15+T8 + 2) +U7," ")," ")</f>
        <v xml:space="preserve"> </v>
      </c>
      <c r="V8" s="78" t="str">
        <f>IFERROR(IF(ISNUMBER(T8),'3.Vehicles'!$F$2 * INDEX('2.Distances'!$D$2:$D$226,T7*15+T8 + 2) +V7," ")," ")</f>
        <v xml:space="preserve"> </v>
      </c>
      <c r="W8" s="79" t="str">
        <f>IFERROR(IF(ISNUMBER(T8),'3.Vehicles'!$F$2 * INDEX('2.Distances'!$D$2:$D$226,T7*15+T8 + 2) +X7," ")," ")</f>
        <v xml:space="preserve"> </v>
      </c>
      <c r="X8" s="79" t="str">
        <f>IFERROR(IF(AND(T5&lt;&gt;T8,ISNUMBER(W8)),INDEX('1.Locations'!$I$2:$I$16,T8 + 1) + MAX(W8,INDEX('1.Locations'!$F$2:$F$16,T8 + 1))," ")," ")</f>
        <v xml:space="preserve"> </v>
      </c>
      <c r="Y8" s="78" t="str">
        <f>IFERROR(IF(AND(S8 = S5, S9 = ""), W8 - X5, X8 - X5)," ")</f>
        <v xml:space="preserve"> </v>
      </c>
      <c r="Z8" s="76" t="str">
        <f>IFERROR(IF(ISNUMBER(T8),INDEX('1.Locations'!$L$2:$L$16,T8 + 1) + Z7," ")," ")</f>
        <v xml:space="preserve"> </v>
      </c>
      <c r="AA8" s="77" t="str">
        <f>IFERROR(IF(ISNUMBER(T8),INDEX('1.Locations'!$J$2:$J$16,T8 + 1)," ")," ")</f>
        <v xml:space="preserve"> </v>
      </c>
      <c r="AB8" s="77" t="str">
        <f>IFERROR(IF(ISNUMBER(T8),INDEX('1.Locations'!$K$2:$K$16,T8 + 1)," ")," ")</f>
        <v xml:space="preserve"> </v>
      </c>
      <c r="AC8" s="77" t="str">
        <f>IFERROR(IF(ISNUMBER(T8),IF(S8 = S5, 0, AA8 + AC7)," ")," ")</f>
        <v xml:space="preserve"> </v>
      </c>
      <c r="AD8" s="77" t="str">
        <f>IFERROR(IF(ISNUMBER(T8),IF(S9 = S5, 0, IF(S9 = "", 0, AD9 + AB9))," ")," ")</f>
        <v xml:space="preserve"> </v>
      </c>
      <c r="AE8" s="76" t="str">
        <f t="shared" si="1"/>
        <v xml:space="preserve"> </v>
      </c>
      <c r="AI8" s="27">
        <v>3</v>
      </c>
      <c r="AJ8" s="75"/>
      <c r="AK8" s="76" t="str">
        <f>IFERROR(MATCH(AJ8,'1.Locations'!$B$2:$B$16, 0) - 1," ")</f>
        <v xml:space="preserve"> </v>
      </c>
      <c r="AL8" s="77" t="str">
        <f>IFERROR(IF(ISNUMBER(AK8),INDEX('2.Distances'!$C$2:$C$226,AK7*15+AK8 + 2) +AL7," ")," ")</f>
        <v xml:space="preserve"> </v>
      </c>
      <c r="AM8" s="78" t="str">
        <f>IFERROR(IF(ISNUMBER(AK8),'3.Vehicles'!$F$2 * INDEX('2.Distances'!$D$2:$D$226,AK7*15+AK8 + 2) +AM7," ")," ")</f>
        <v xml:space="preserve"> </v>
      </c>
      <c r="AN8" s="79" t="str">
        <f>IFERROR(IF(ISNUMBER(AK8),'3.Vehicles'!$F$2 * INDEX('2.Distances'!$D$2:$D$226,AK7*15+AK8 + 2) +AO7," ")," ")</f>
        <v xml:space="preserve"> </v>
      </c>
      <c r="AO8" s="79" t="str">
        <f>IFERROR(IF(AND(AK5&lt;&gt;AK8,ISNUMBER(AN8)),INDEX('1.Locations'!$I$2:$I$16,AK8 + 1) + MAX(AN8,INDEX('1.Locations'!$F$2:$F$16,AK8 + 1))," ")," ")</f>
        <v xml:space="preserve"> </v>
      </c>
      <c r="AP8" s="78" t="str">
        <f>IFERROR(IF(AND(AJ8 = AJ5, AJ9 = ""), AN8 - AO5, AO8 - AO5)," ")</f>
        <v xml:space="preserve"> </v>
      </c>
      <c r="AQ8" s="76" t="str">
        <f>IFERROR(IF(ISNUMBER(AK8),INDEX('1.Locations'!$L$2:$L$16,AK8 + 1) + AQ7," ")," ")</f>
        <v xml:space="preserve"> </v>
      </c>
      <c r="AR8" s="77" t="str">
        <f>IFERROR(IF(ISNUMBER(AK8),INDEX('1.Locations'!$J$2:$J$16,AK8 + 1)," ")," ")</f>
        <v xml:space="preserve"> </v>
      </c>
      <c r="AS8" s="77" t="str">
        <f>IFERROR(IF(ISNUMBER(AK8),INDEX('1.Locations'!$K$2:$K$16,AK8 + 1)," ")," ")</f>
        <v xml:space="preserve"> </v>
      </c>
      <c r="AT8" s="77" t="str">
        <f>IFERROR(IF(ISNUMBER(AK8),IF(AJ8 = AJ5, 0, AR8 + AT7)," ")," ")</f>
        <v xml:space="preserve"> </v>
      </c>
      <c r="AU8" s="77" t="str">
        <f>IFERROR(IF(ISNUMBER(AK8),IF(AJ9 = AJ5, 0, IF(AJ9 = "", 0, AU9 + AS9))," ")," ")</f>
        <v xml:space="preserve"> </v>
      </c>
      <c r="AV8" s="76" t="str">
        <f t="shared" si="2"/>
        <v xml:space="preserve"> </v>
      </c>
    </row>
    <row r="9" spans="1:48" x14ac:dyDescent="0.2">
      <c r="A9" s="27">
        <v>4</v>
      </c>
      <c r="B9" s="80" t="s">
        <v>4273</v>
      </c>
      <c r="C9" s="76">
        <f>IFERROR(MATCH(B9,'1.Locations'!$B$2:$B$16, 0) - 1," ")</f>
        <v>7</v>
      </c>
      <c r="D9" s="77">
        <f>IFERROR(IF(ISNUMBER(C9),INDEX('2.Distances'!$C$2:$C$226,C8*15+C9 + 2) +D8," ")," ")</f>
        <v>6.9919999999999991</v>
      </c>
      <c r="E9" s="78">
        <f>IFERROR(IF(ISNUMBER(C9),'3.Vehicles'!$F$2 * INDEX('2.Distances'!$D$2:$D$226,C8*15+C9 + 2) +E8," ")," ")</f>
        <v>7.6388888888888895E-3</v>
      </c>
      <c r="F9" s="79">
        <f>IFERROR(IF(ISNUMBER(C9),'3.Vehicles'!$F$2 * INDEX('2.Distances'!$D$2:$D$226,C8*15+C9 + 2) +G8," ")," ")</f>
        <v>0.34097222222222218</v>
      </c>
      <c r="G9" s="79">
        <f>IFERROR(IF(AND(C5&lt;&gt;C9,ISNUMBER(F9)),INDEX('1.Locations'!$I$2:$I$16,C9 + 1) + MAX(F9,INDEX('1.Locations'!$F$2:$F$16,C9 + 1))," ")," ")</f>
        <v>0.34097222222222218</v>
      </c>
      <c r="H9" s="78">
        <f>IFERROR(IF(AND(B9 = B5, B10 = ""), F9 - G5, G9 - G5)," ")</f>
        <v>7.6388888888888618E-3</v>
      </c>
      <c r="I9" s="76">
        <f>IFERROR(IF(ISNUMBER(C9),INDEX('1.Locations'!$L$2:$L$16,C9 + 1) + I8," ")," ")</f>
        <v>0</v>
      </c>
      <c r="J9" s="77">
        <f>IFERROR(IF(ISNUMBER(C9),INDEX('1.Locations'!$J$2:$J$16,C9 + 1)," ")," ")</f>
        <v>0</v>
      </c>
      <c r="K9" s="77">
        <f>IFERROR(IF(ISNUMBER(C9),INDEX('1.Locations'!$K$2:$K$16,C9 + 1)," ")," ")</f>
        <v>0</v>
      </c>
      <c r="L9" s="77">
        <f>IFERROR(IF(ISNUMBER(C9),IF(B9 = B5, 0, J9 + L8)," ")," ")</f>
        <v>0</v>
      </c>
      <c r="M9" s="77">
        <f>IFERROR(IF(ISNUMBER(C9),IF(B10 = B5, 0, IF(B10 = "", 0, M10 + K10))," ")," ")</f>
        <v>0</v>
      </c>
      <c r="N9" s="76">
        <f t="shared" si="0"/>
        <v>0</v>
      </c>
      <c r="R9" s="27">
        <v>4</v>
      </c>
      <c r="S9" s="80"/>
      <c r="T9" s="76" t="str">
        <f>IFERROR(MATCH(S9,'1.Locations'!$B$2:$B$16, 0) - 1," ")</f>
        <v xml:space="preserve"> </v>
      </c>
      <c r="U9" s="77" t="str">
        <f>IFERROR(IF(ISNUMBER(T9),INDEX('2.Distances'!$C$2:$C$226,T8*15+T9 + 2) +U8," ")," ")</f>
        <v xml:space="preserve"> </v>
      </c>
      <c r="V9" s="78" t="str">
        <f>IFERROR(IF(ISNUMBER(T9),'3.Vehicles'!$F$2 * INDEX('2.Distances'!$D$2:$D$226,T8*15+T9 + 2) +V8," ")," ")</f>
        <v xml:space="preserve"> </v>
      </c>
      <c r="W9" s="79" t="str">
        <f>IFERROR(IF(ISNUMBER(T9),'3.Vehicles'!$F$2 * INDEX('2.Distances'!$D$2:$D$226,T8*15+T9 + 2) +X8," ")," ")</f>
        <v xml:space="preserve"> </v>
      </c>
      <c r="X9" s="79" t="str">
        <f>IFERROR(IF(AND(T5&lt;&gt;T9,ISNUMBER(W9)),INDEX('1.Locations'!$I$2:$I$16,T9 + 1) + MAX(W9,INDEX('1.Locations'!$F$2:$F$16,T9 + 1))," ")," ")</f>
        <v xml:space="preserve"> </v>
      </c>
      <c r="Y9" s="78" t="str">
        <f>IFERROR(IF(AND(S9 = S5, S10 = ""), W9 - X5, X9 - X5)," ")</f>
        <v xml:space="preserve"> </v>
      </c>
      <c r="Z9" s="76" t="str">
        <f>IFERROR(IF(ISNUMBER(T9),INDEX('1.Locations'!$L$2:$L$16,T9 + 1) + Z8," ")," ")</f>
        <v xml:space="preserve"> </v>
      </c>
      <c r="AA9" s="77" t="str">
        <f>IFERROR(IF(ISNUMBER(T9),INDEX('1.Locations'!$J$2:$J$16,T9 + 1)," ")," ")</f>
        <v xml:space="preserve"> </v>
      </c>
      <c r="AB9" s="77" t="str">
        <f>IFERROR(IF(ISNUMBER(T9),INDEX('1.Locations'!$K$2:$K$16,T9 + 1)," ")," ")</f>
        <v xml:space="preserve"> </v>
      </c>
      <c r="AC9" s="77" t="str">
        <f>IFERROR(IF(ISNUMBER(T9),IF(S9 = S5, 0, AA9 + AC8)," ")," ")</f>
        <v xml:space="preserve"> </v>
      </c>
      <c r="AD9" s="77" t="str">
        <f>IFERROR(IF(ISNUMBER(T9),IF(S10 = S5, 0, IF(S10 = "", 0, AD10 + AB10))," ")," ")</f>
        <v xml:space="preserve"> </v>
      </c>
      <c r="AE9" s="76" t="str">
        <f t="shared" si="1"/>
        <v xml:space="preserve"> </v>
      </c>
      <c r="AI9" s="27">
        <v>4</v>
      </c>
      <c r="AJ9" s="80"/>
      <c r="AK9" s="76" t="str">
        <f>IFERROR(MATCH(AJ9,'1.Locations'!$B$2:$B$16, 0) - 1," ")</f>
        <v xml:space="preserve"> </v>
      </c>
      <c r="AL9" s="77" t="str">
        <f>IFERROR(IF(ISNUMBER(AK9),INDEX('2.Distances'!$C$2:$C$226,AK8*15+AK9 + 2) +AL8," ")," ")</f>
        <v xml:space="preserve"> </v>
      </c>
      <c r="AM9" s="78" t="str">
        <f>IFERROR(IF(ISNUMBER(AK9),'3.Vehicles'!$F$2 * INDEX('2.Distances'!$D$2:$D$226,AK8*15+AK9 + 2) +AM8," ")," ")</f>
        <v xml:space="preserve"> </v>
      </c>
      <c r="AN9" s="79" t="str">
        <f>IFERROR(IF(ISNUMBER(AK9),'3.Vehicles'!$F$2 * INDEX('2.Distances'!$D$2:$D$226,AK8*15+AK9 + 2) +AO8," ")," ")</f>
        <v xml:space="preserve"> </v>
      </c>
      <c r="AO9" s="79" t="str">
        <f>IFERROR(IF(AND(AK5&lt;&gt;AK9,ISNUMBER(AN9)),INDEX('1.Locations'!$I$2:$I$16,AK9 + 1) + MAX(AN9,INDEX('1.Locations'!$F$2:$F$16,AK9 + 1))," ")," ")</f>
        <v xml:space="preserve"> </v>
      </c>
      <c r="AP9" s="78" t="str">
        <f>IFERROR(IF(AND(AJ9 = AJ5, AJ10 = ""), AN9 - AO5, AO9 - AO5)," ")</f>
        <v xml:space="preserve"> </v>
      </c>
      <c r="AQ9" s="76" t="str">
        <f>IFERROR(IF(ISNUMBER(AK9),INDEX('1.Locations'!$L$2:$L$16,AK9 + 1) + AQ8," ")," ")</f>
        <v xml:space="preserve"> </v>
      </c>
      <c r="AR9" s="77" t="str">
        <f>IFERROR(IF(ISNUMBER(AK9),INDEX('1.Locations'!$J$2:$J$16,AK9 + 1)," ")," ")</f>
        <v xml:space="preserve"> </v>
      </c>
      <c r="AS9" s="77" t="str">
        <f>IFERROR(IF(ISNUMBER(AK9),INDEX('1.Locations'!$K$2:$K$16,AK9 + 1)," ")," ")</f>
        <v xml:space="preserve"> </v>
      </c>
      <c r="AT9" s="77" t="str">
        <f>IFERROR(IF(ISNUMBER(AK9),IF(AJ9 = AJ5, 0, AR9 + AT8)," ")," ")</f>
        <v xml:space="preserve"> </v>
      </c>
      <c r="AU9" s="77" t="str">
        <f>IFERROR(IF(ISNUMBER(AK9),IF(AJ10 = AJ5, 0, IF(AJ10 = "", 0, AU10 + AS10))," ")," ")</f>
        <v xml:space="preserve"> </v>
      </c>
      <c r="AV9" s="76" t="str">
        <f t="shared" si="2"/>
        <v xml:space="preserve"> </v>
      </c>
    </row>
    <row r="10" spans="1:48" x14ac:dyDescent="0.2">
      <c r="A10" s="27">
        <v>5</v>
      </c>
      <c r="B10" s="75" t="s">
        <v>4271</v>
      </c>
      <c r="C10" s="76">
        <f>IFERROR(MATCH(B10,'1.Locations'!$B$2:$B$16, 0) - 1," ")</f>
        <v>5</v>
      </c>
      <c r="D10" s="77">
        <f>IFERROR(IF(ISNUMBER(C10),INDEX('2.Distances'!$C$2:$C$226,C9*15+C10 + 2) +D9," ")," ")</f>
        <v>7.5149999999999988</v>
      </c>
      <c r="E10" s="78">
        <f>IFERROR(IF(ISNUMBER(C10),'3.Vehicles'!$F$2 * INDEX('2.Distances'!$D$2:$D$226,C9*15+C10 + 2) +E9," ")," ")</f>
        <v>8.3333333333333332E-3</v>
      </c>
      <c r="F10" s="79">
        <f>IFERROR(IF(ISNUMBER(C10),'3.Vehicles'!$F$2 * INDEX('2.Distances'!$D$2:$D$226,C9*15+C10 + 2) +G9," ")," ")</f>
        <v>0.34166666666666662</v>
      </c>
      <c r="G10" s="79">
        <f>IFERROR(IF(AND(C5&lt;&gt;C10,ISNUMBER(F10)),INDEX('1.Locations'!$I$2:$I$16,C10 + 1) + MAX(F10,INDEX('1.Locations'!$F$2:$F$16,C10 + 1))," ")," ")</f>
        <v>0.34166666666666662</v>
      </c>
      <c r="H10" s="78">
        <f>IFERROR(IF(AND(B10 = B5, B11 = ""), F10 - G5, G10 - G5)," ")</f>
        <v>8.3333333333333037E-3</v>
      </c>
      <c r="I10" s="76">
        <f>IFERROR(IF(ISNUMBER(C10),INDEX('1.Locations'!$L$2:$L$16,C10 + 1) + I9," ")," ")</f>
        <v>0</v>
      </c>
      <c r="J10" s="77">
        <f>IFERROR(IF(ISNUMBER(C10),INDEX('1.Locations'!$J$2:$J$16,C10 + 1)," ")," ")</f>
        <v>0</v>
      </c>
      <c r="K10" s="77">
        <f>IFERROR(IF(ISNUMBER(C10),INDEX('1.Locations'!$K$2:$K$16,C10 + 1)," ")," ")</f>
        <v>0</v>
      </c>
      <c r="L10" s="77">
        <f>IFERROR(IF(ISNUMBER(C10),IF(B10 = B5, 0, J10 + L9)," ")," ")</f>
        <v>0</v>
      </c>
      <c r="M10" s="77">
        <f>IFERROR(IF(ISNUMBER(C10),IF(B11 = B5, 0, IF(B11 = "", 0, M11 + K11))," ")," ")</f>
        <v>0</v>
      </c>
      <c r="N10" s="76">
        <f t="shared" si="0"/>
        <v>0</v>
      </c>
      <c r="R10" s="27">
        <v>5</v>
      </c>
      <c r="S10" s="75"/>
      <c r="T10" s="76" t="str">
        <f>IFERROR(MATCH(S10,'1.Locations'!$B$2:$B$16, 0) - 1," ")</f>
        <v xml:space="preserve"> </v>
      </c>
      <c r="U10" s="77" t="str">
        <f>IFERROR(IF(ISNUMBER(T10),INDEX('2.Distances'!$C$2:$C$226,T9*15+T10 + 2) +U9," ")," ")</f>
        <v xml:space="preserve"> </v>
      </c>
      <c r="V10" s="78" t="str">
        <f>IFERROR(IF(ISNUMBER(T10),'3.Vehicles'!$F$2 * INDEX('2.Distances'!$D$2:$D$226,T9*15+T10 + 2) +V9," ")," ")</f>
        <v xml:space="preserve"> </v>
      </c>
      <c r="W10" s="79" t="str">
        <f>IFERROR(IF(ISNUMBER(T10),'3.Vehicles'!$F$2 * INDEX('2.Distances'!$D$2:$D$226,T9*15+T10 + 2) +X9," ")," ")</f>
        <v xml:space="preserve"> </v>
      </c>
      <c r="X10" s="79" t="str">
        <f>IFERROR(IF(AND(T5&lt;&gt;T10,ISNUMBER(W10)),INDEX('1.Locations'!$I$2:$I$16,T10 + 1) + MAX(W10,INDEX('1.Locations'!$F$2:$F$16,T10 + 1))," ")," ")</f>
        <v xml:space="preserve"> </v>
      </c>
      <c r="Y10" s="78" t="str">
        <f>IFERROR(IF(AND(S10 = S5, S11 = ""), W10 - X5, X10 - X5)," ")</f>
        <v xml:space="preserve"> </v>
      </c>
      <c r="Z10" s="76" t="str">
        <f>IFERROR(IF(ISNUMBER(T10),INDEX('1.Locations'!$L$2:$L$16,T10 + 1) + Z9," ")," ")</f>
        <v xml:space="preserve"> </v>
      </c>
      <c r="AA10" s="77" t="str">
        <f>IFERROR(IF(ISNUMBER(T10),INDEX('1.Locations'!$J$2:$J$16,T10 + 1)," ")," ")</f>
        <v xml:space="preserve"> </v>
      </c>
      <c r="AB10" s="77" t="str">
        <f>IFERROR(IF(ISNUMBER(T10),INDEX('1.Locations'!$K$2:$K$16,T10 + 1)," ")," ")</f>
        <v xml:space="preserve"> </v>
      </c>
      <c r="AC10" s="77" t="str">
        <f>IFERROR(IF(ISNUMBER(T10),IF(S10 = S5, 0, AA10 + AC9)," ")," ")</f>
        <v xml:space="preserve"> </v>
      </c>
      <c r="AD10" s="77" t="str">
        <f>IFERROR(IF(ISNUMBER(T10),IF(S11 = S5, 0, IF(S11 = "", 0, AD11 + AB11))," ")," ")</f>
        <v xml:space="preserve"> </v>
      </c>
      <c r="AE10" s="76" t="str">
        <f t="shared" si="1"/>
        <v xml:space="preserve"> </v>
      </c>
      <c r="AI10" s="27">
        <v>5</v>
      </c>
      <c r="AJ10" s="75"/>
      <c r="AK10" s="76" t="str">
        <f>IFERROR(MATCH(AJ10,'1.Locations'!$B$2:$B$16, 0) - 1," ")</f>
        <v xml:space="preserve"> </v>
      </c>
      <c r="AL10" s="77" t="str">
        <f>IFERROR(IF(ISNUMBER(AK10),INDEX('2.Distances'!$C$2:$C$226,AK9*15+AK10 + 2) +AL9," ")," ")</f>
        <v xml:space="preserve"> </v>
      </c>
      <c r="AM10" s="78" t="str">
        <f>IFERROR(IF(ISNUMBER(AK10),'3.Vehicles'!$F$2 * INDEX('2.Distances'!$D$2:$D$226,AK9*15+AK10 + 2) +AM9," ")," ")</f>
        <v xml:space="preserve"> </v>
      </c>
      <c r="AN10" s="79" t="str">
        <f>IFERROR(IF(ISNUMBER(AK10),'3.Vehicles'!$F$2 * INDEX('2.Distances'!$D$2:$D$226,AK9*15+AK10 + 2) +AO9," ")," ")</f>
        <v xml:space="preserve"> </v>
      </c>
      <c r="AO10" s="79" t="str">
        <f>IFERROR(IF(AND(AK5&lt;&gt;AK10,ISNUMBER(AN10)),INDEX('1.Locations'!$I$2:$I$16,AK10 + 1) + MAX(AN10,INDEX('1.Locations'!$F$2:$F$16,AK10 + 1))," ")," ")</f>
        <v xml:space="preserve"> </v>
      </c>
      <c r="AP10" s="78" t="str">
        <f>IFERROR(IF(AND(AJ10 = AJ5, AJ11 = ""), AN10 - AO5, AO10 - AO5)," ")</f>
        <v xml:space="preserve"> </v>
      </c>
      <c r="AQ10" s="76" t="str">
        <f>IFERROR(IF(ISNUMBER(AK10),INDEX('1.Locations'!$L$2:$L$16,AK10 + 1) + AQ9," ")," ")</f>
        <v xml:space="preserve"> </v>
      </c>
      <c r="AR10" s="77" t="str">
        <f>IFERROR(IF(ISNUMBER(AK10),INDEX('1.Locations'!$J$2:$J$16,AK10 + 1)," ")," ")</f>
        <v xml:space="preserve"> </v>
      </c>
      <c r="AS10" s="77" t="str">
        <f>IFERROR(IF(ISNUMBER(AK10),INDEX('1.Locations'!$K$2:$K$16,AK10 + 1)," ")," ")</f>
        <v xml:space="preserve"> </v>
      </c>
      <c r="AT10" s="77" t="str">
        <f>IFERROR(IF(ISNUMBER(AK10),IF(AJ10 = AJ5, 0, AR10 + AT9)," ")," ")</f>
        <v xml:space="preserve"> </v>
      </c>
      <c r="AU10" s="77" t="str">
        <f>IFERROR(IF(ISNUMBER(AK10),IF(AJ11 = AJ5, 0, IF(AJ11 = "", 0, AU11 + AS11))," ")," ")</f>
        <v xml:space="preserve"> </v>
      </c>
      <c r="AV10" s="76" t="str">
        <f t="shared" si="2"/>
        <v xml:space="preserve"> </v>
      </c>
    </row>
    <row r="11" spans="1:48" x14ac:dyDescent="0.2">
      <c r="A11" s="27">
        <v>6</v>
      </c>
      <c r="B11" s="80" t="s">
        <v>4280</v>
      </c>
      <c r="C11" s="76">
        <f>IFERROR(MATCH(B11,'1.Locations'!$B$2:$B$16, 0) - 1," ")</f>
        <v>14</v>
      </c>
      <c r="D11" s="77">
        <f>IFERROR(IF(ISNUMBER(C11),INDEX('2.Distances'!$C$2:$C$226,C10*15+C11 + 2) +D10," ")," ")</f>
        <v>8.3659999999999997</v>
      </c>
      <c r="E11" s="78">
        <f>IFERROR(IF(ISNUMBER(C11),'3.Vehicles'!$F$2 * INDEX('2.Distances'!$D$2:$D$226,C10*15+C11 + 2) +E10," ")," ")</f>
        <v>9.0277777777777769E-3</v>
      </c>
      <c r="F11" s="79">
        <f>IFERROR(IF(ISNUMBER(C11),'3.Vehicles'!$F$2 * INDEX('2.Distances'!$D$2:$D$226,C10*15+C11 + 2) +G10," ")," ")</f>
        <v>0.34236111111111106</v>
      </c>
      <c r="G11" s="79">
        <f>IFERROR(IF(AND(C5&lt;&gt;C11,ISNUMBER(F11)),INDEX('1.Locations'!$I$2:$I$16,C11 + 1) + MAX(F11,INDEX('1.Locations'!$F$2:$F$16,C11 + 1))," ")," ")</f>
        <v>0.34236111111111106</v>
      </c>
      <c r="H11" s="78">
        <f>IFERROR(IF(AND(B11 = B5, B12 = ""), F11 - G5, G11 - G5)," ")</f>
        <v>9.0277777777777457E-3</v>
      </c>
      <c r="I11" s="76">
        <f>IFERROR(IF(ISNUMBER(C11),INDEX('1.Locations'!$L$2:$L$16,C11 + 1) + I10," ")," ")</f>
        <v>0</v>
      </c>
      <c r="J11" s="77">
        <f>IFERROR(IF(ISNUMBER(C11),INDEX('1.Locations'!$J$2:$J$16,C11 + 1)," ")," ")</f>
        <v>0</v>
      </c>
      <c r="K11" s="77">
        <f>IFERROR(IF(ISNUMBER(C11),INDEX('1.Locations'!$K$2:$K$16,C11 + 1)," ")," ")</f>
        <v>0</v>
      </c>
      <c r="L11" s="77">
        <f>IFERROR(IF(ISNUMBER(C11),IF(B11 = B5, 0, J11 + L10)," ")," ")</f>
        <v>0</v>
      </c>
      <c r="M11" s="77">
        <f>IFERROR(IF(ISNUMBER(C11),IF(B12 = B5, 0, IF(B12 = "", 0, M12 + K12))," ")," ")</f>
        <v>0</v>
      </c>
      <c r="N11" s="76">
        <f t="shared" si="0"/>
        <v>0</v>
      </c>
      <c r="R11" s="27">
        <v>6</v>
      </c>
      <c r="S11" s="80"/>
      <c r="T11" s="76" t="str">
        <f>IFERROR(MATCH(S11,'1.Locations'!$B$2:$B$16, 0) - 1," ")</f>
        <v xml:space="preserve"> </v>
      </c>
      <c r="U11" s="77" t="str">
        <f>IFERROR(IF(ISNUMBER(T11),INDEX('2.Distances'!$C$2:$C$226,T10*15+T11 + 2) +U10," ")," ")</f>
        <v xml:space="preserve"> </v>
      </c>
      <c r="V11" s="78" t="str">
        <f>IFERROR(IF(ISNUMBER(T11),'3.Vehicles'!$F$2 * INDEX('2.Distances'!$D$2:$D$226,T10*15+T11 + 2) +V10," ")," ")</f>
        <v xml:space="preserve"> </v>
      </c>
      <c r="W11" s="79" t="str">
        <f>IFERROR(IF(ISNUMBER(T11),'3.Vehicles'!$F$2 * INDEX('2.Distances'!$D$2:$D$226,T10*15+T11 + 2) +X10," ")," ")</f>
        <v xml:space="preserve"> </v>
      </c>
      <c r="X11" s="79" t="str">
        <f>IFERROR(IF(AND(T5&lt;&gt;T11,ISNUMBER(W11)),INDEX('1.Locations'!$I$2:$I$16,T11 + 1) + MAX(W11,INDEX('1.Locations'!$F$2:$F$16,T11 + 1))," ")," ")</f>
        <v xml:space="preserve"> </v>
      </c>
      <c r="Y11" s="78" t="str">
        <f>IFERROR(IF(AND(S11 = S5, S12 = ""), W11 - X5, X11 - X5)," ")</f>
        <v xml:space="preserve"> </v>
      </c>
      <c r="Z11" s="76" t="str">
        <f>IFERROR(IF(ISNUMBER(T11),INDEX('1.Locations'!$L$2:$L$16,T11 + 1) + Z10," ")," ")</f>
        <v xml:space="preserve"> </v>
      </c>
      <c r="AA11" s="77" t="str">
        <f>IFERROR(IF(ISNUMBER(T11),INDEX('1.Locations'!$J$2:$J$16,T11 + 1)," ")," ")</f>
        <v xml:space="preserve"> </v>
      </c>
      <c r="AB11" s="77" t="str">
        <f>IFERROR(IF(ISNUMBER(T11),INDEX('1.Locations'!$K$2:$K$16,T11 + 1)," ")," ")</f>
        <v xml:space="preserve"> </v>
      </c>
      <c r="AC11" s="77" t="str">
        <f>IFERROR(IF(ISNUMBER(T11),IF(S11 = S5, 0, AA11 + AC10)," ")," ")</f>
        <v xml:space="preserve"> </v>
      </c>
      <c r="AD11" s="77" t="str">
        <f>IFERROR(IF(ISNUMBER(T11),IF(S12 = S5, 0, IF(S12 = "", 0, AD12 + AB12))," ")," ")</f>
        <v xml:space="preserve"> </v>
      </c>
      <c r="AE11" s="76" t="str">
        <f t="shared" si="1"/>
        <v xml:space="preserve"> </v>
      </c>
      <c r="AI11" s="27">
        <v>6</v>
      </c>
      <c r="AJ11" s="80"/>
      <c r="AK11" s="76" t="str">
        <f>IFERROR(MATCH(AJ11,'1.Locations'!$B$2:$B$16, 0) - 1," ")</f>
        <v xml:space="preserve"> </v>
      </c>
      <c r="AL11" s="77" t="str">
        <f>IFERROR(IF(ISNUMBER(AK11),INDEX('2.Distances'!$C$2:$C$226,AK10*15+AK11 + 2) +AL10," ")," ")</f>
        <v xml:space="preserve"> </v>
      </c>
      <c r="AM11" s="78" t="str">
        <f>IFERROR(IF(ISNUMBER(AK11),'3.Vehicles'!$F$2 * INDEX('2.Distances'!$D$2:$D$226,AK10*15+AK11 + 2) +AM10," ")," ")</f>
        <v xml:space="preserve"> </v>
      </c>
      <c r="AN11" s="79" t="str">
        <f>IFERROR(IF(ISNUMBER(AK11),'3.Vehicles'!$F$2 * INDEX('2.Distances'!$D$2:$D$226,AK10*15+AK11 + 2) +AO10," ")," ")</f>
        <v xml:space="preserve"> </v>
      </c>
      <c r="AO11" s="79" t="str">
        <f>IFERROR(IF(AND(AK5&lt;&gt;AK11,ISNUMBER(AN11)),INDEX('1.Locations'!$I$2:$I$16,AK11 + 1) + MAX(AN11,INDEX('1.Locations'!$F$2:$F$16,AK11 + 1))," ")," ")</f>
        <v xml:space="preserve"> </v>
      </c>
      <c r="AP11" s="78" t="str">
        <f>IFERROR(IF(AND(AJ11 = AJ5, AJ12 = ""), AN11 - AO5, AO11 - AO5)," ")</f>
        <v xml:space="preserve"> </v>
      </c>
      <c r="AQ11" s="76" t="str">
        <f>IFERROR(IF(ISNUMBER(AK11),INDEX('1.Locations'!$L$2:$L$16,AK11 + 1) + AQ10," ")," ")</f>
        <v xml:space="preserve"> </v>
      </c>
      <c r="AR11" s="77" t="str">
        <f>IFERROR(IF(ISNUMBER(AK11),INDEX('1.Locations'!$J$2:$J$16,AK11 + 1)," ")," ")</f>
        <v xml:space="preserve"> </v>
      </c>
      <c r="AS11" s="77" t="str">
        <f>IFERROR(IF(ISNUMBER(AK11),INDEX('1.Locations'!$K$2:$K$16,AK11 + 1)," ")," ")</f>
        <v xml:space="preserve"> </v>
      </c>
      <c r="AT11" s="77" t="str">
        <f>IFERROR(IF(ISNUMBER(AK11),IF(AJ11 = AJ5, 0, AR11 + AT10)," ")," ")</f>
        <v xml:space="preserve"> </v>
      </c>
      <c r="AU11" s="77" t="str">
        <f>IFERROR(IF(ISNUMBER(AK11),IF(AJ12 = AJ5, 0, IF(AJ12 = "", 0, AU12 + AS12))," ")," ")</f>
        <v xml:space="preserve"> </v>
      </c>
      <c r="AV11" s="76" t="str">
        <f t="shared" si="2"/>
        <v xml:space="preserve"> </v>
      </c>
    </row>
    <row r="12" spans="1:48" x14ac:dyDescent="0.2">
      <c r="A12" s="27">
        <v>7</v>
      </c>
      <c r="B12" s="75" t="s">
        <v>4270</v>
      </c>
      <c r="C12" s="76">
        <f>IFERROR(MATCH(B12,'1.Locations'!$B$2:$B$16, 0) - 1," ")</f>
        <v>4</v>
      </c>
      <c r="D12" s="77">
        <f>IFERROR(IF(ISNUMBER(C12),INDEX('2.Distances'!$C$2:$C$226,C11*15+C12 + 2) +D11," ")," ")</f>
        <v>8.6069999999999993</v>
      </c>
      <c r="E12" s="78">
        <f>IFERROR(IF(ISNUMBER(C12),'3.Vehicles'!$F$2 * INDEX('2.Distances'!$D$2:$D$226,C11*15+C12 + 2) +E11," ")," ")</f>
        <v>9.0277777777777769E-3</v>
      </c>
      <c r="F12" s="79">
        <f>IFERROR(IF(ISNUMBER(C12),'3.Vehicles'!$F$2 * INDEX('2.Distances'!$D$2:$D$226,C11*15+C12 + 2) +G11," ")," ")</f>
        <v>0.34236111111111106</v>
      </c>
      <c r="G12" s="79">
        <f>IFERROR(IF(AND(C5&lt;&gt;C12,ISNUMBER(F12)),INDEX('1.Locations'!$I$2:$I$16,C12 + 1) + MAX(F12,INDEX('1.Locations'!$F$2:$F$16,C12 + 1))," ")," ")</f>
        <v>0.34236111111111106</v>
      </c>
      <c r="H12" s="78">
        <f>IFERROR(IF(AND(B12 = B5, B13 = ""), F12 - G5, G12 - G5)," ")</f>
        <v>9.0277777777777457E-3</v>
      </c>
      <c r="I12" s="76">
        <f>IFERROR(IF(ISNUMBER(C12),INDEX('1.Locations'!$L$2:$L$16,C12 + 1) + I11," ")," ")</f>
        <v>0</v>
      </c>
      <c r="J12" s="77">
        <f>IFERROR(IF(ISNUMBER(C12),INDEX('1.Locations'!$J$2:$J$16,C12 + 1)," ")," ")</f>
        <v>0</v>
      </c>
      <c r="K12" s="77">
        <f>IFERROR(IF(ISNUMBER(C12),INDEX('1.Locations'!$K$2:$K$16,C12 + 1)," ")," ")</f>
        <v>0</v>
      </c>
      <c r="L12" s="77">
        <f>IFERROR(IF(ISNUMBER(C12),IF(B12 = B5, 0, J12 + L11)," ")," ")</f>
        <v>0</v>
      </c>
      <c r="M12" s="77">
        <f>IFERROR(IF(ISNUMBER(C12),IF(B13 = B5, 0, IF(B13 = "", 0, M13 + K13))," ")," ")</f>
        <v>0</v>
      </c>
      <c r="N12" s="76">
        <f t="shared" si="0"/>
        <v>0</v>
      </c>
      <c r="R12" s="27">
        <v>7</v>
      </c>
      <c r="S12" s="75"/>
      <c r="T12" s="76" t="str">
        <f>IFERROR(MATCH(S12,'1.Locations'!$B$2:$B$16, 0) - 1," ")</f>
        <v xml:space="preserve"> </v>
      </c>
      <c r="U12" s="77" t="str">
        <f>IFERROR(IF(ISNUMBER(T12),INDEX('2.Distances'!$C$2:$C$226,T11*15+T12 + 2) +U11," ")," ")</f>
        <v xml:space="preserve"> </v>
      </c>
      <c r="V12" s="78" t="str">
        <f>IFERROR(IF(ISNUMBER(T12),'3.Vehicles'!$F$2 * INDEX('2.Distances'!$D$2:$D$226,T11*15+T12 + 2) +V11," ")," ")</f>
        <v xml:space="preserve"> </v>
      </c>
      <c r="W12" s="79" t="str">
        <f>IFERROR(IF(ISNUMBER(T12),'3.Vehicles'!$F$2 * INDEX('2.Distances'!$D$2:$D$226,T11*15+T12 + 2) +X11," ")," ")</f>
        <v xml:space="preserve"> </v>
      </c>
      <c r="X12" s="79" t="str">
        <f>IFERROR(IF(AND(T5&lt;&gt;T12,ISNUMBER(W12)),INDEX('1.Locations'!$I$2:$I$16,T12 + 1) + MAX(W12,INDEX('1.Locations'!$F$2:$F$16,T12 + 1))," ")," ")</f>
        <v xml:space="preserve"> </v>
      </c>
      <c r="Y12" s="78" t="str">
        <f>IFERROR(IF(AND(S12 = S5, S13 = ""), W12 - X5, X12 - X5)," ")</f>
        <v xml:space="preserve"> </v>
      </c>
      <c r="Z12" s="76" t="str">
        <f>IFERROR(IF(ISNUMBER(T12),INDEX('1.Locations'!$L$2:$L$16,T12 + 1) + Z11," ")," ")</f>
        <v xml:space="preserve"> </v>
      </c>
      <c r="AA12" s="77" t="str">
        <f>IFERROR(IF(ISNUMBER(T12),INDEX('1.Locations'!$J$2:$J$16,T12 + 1)," ")," ")</f>
        <v xml:space="preserve"> </v>
      </c>
      <c r="AB12" s="77" t="str">
        <f>IFERROR(IF(ISNUMBER(T12),INDEX('1.Locations'!$K$2:$K$16,T12 + 1)," ")," ")</f>
        <v xml:space="preserve"> </v>
      </c>
      <c r="AC12" s="77" t="str">
        <f>IFERROR(IF(ISNUMBER(T12),IF(S12 = S5, 0, AA12 + AC11)," ")," ")</f>
        <v xml:space="preserve"> </v>
      </c>
      <c r="AD12" s="77" t="str">
        <f>IFERROR(IF(ISNUMBER(T12),IF(S13 = S5, 0, IF(S13 = "", 0, AD13 + AB13))," ")," ")</f>
        <v xml:space="preserve"> </v>
      </c>
      <c r="AE12" s="76" t="str">
        <f t="shared" si="1"/>
        <v xml:space="preserve"> </v>
      </c>
      <c r="AI12" s="27">
        <v>7</v>
      </c>
      <c r="AJ12" s="75"/>
      <c r="AK12" s="76" t="str">
        <f>IFERROR(MATCH(AJ12,'1.Locations'!$B$2:$B$16, 0) - 1," ")</f>
        <v xml:space="preserve"> </v>
      </c>
      <c r="AL12" s="77" t="str">
        <f>IFERROR(IF(ISNUMBER(AK12),INDEX('2.Distances'!$C$2:$C$226,AK11*15+AK12 + 2) +AL11," ")," ")</f>
        <v xml:space="preserve"> </v>
      </c>
      <c r="AM12" s="78" t="str">
        <f>IFERROR(IF(ISNUMBER(AK12),'3.Vehicles'!$F$2 * INDEX('2.Distances'!$D$2:$D$226,AK11*15+AK12 + 2) +AM11," ")," ")</f>
        <v xml:space="preserve"> </v>
      </c>
      <c r="AN12" s="79" t="str">
        <f>IFERROR(IF(ISNUMBER(AK12),'3.Vehicles'!$F$2 * INDEX('2.Distances'!$D$2:$D$226,AK11*15+AK12 + 2) +AO11," ")," ")</f>
        <v xml:space="preserve"> </v>
      </c>
      <c r="AO12" s="79" t="str">
        <f>IFERROR(IF(AND(AK5&lt;&gt;AK12,ISNUMBER(AN12)),INDEX('1.Locations'!$I$2:$I$16,AK12 + 1) + MAX(AN12,INDEX('1.Locations'!$F$2:$F$16,AK12 + 1))," ")," ")</f>
        <v xml:space="preserve"> </v>
      </c>
      <c r="AP12" s="78" t="str">
        <f>IFERROR(IF(AND(AJ12 = AJ5, AJ13 = ""), AN12 - AO5, AO12 - AO5)," ")</f>
        <v xml:space="preserve"> </v>
      </c>
      <c r="AQ12" s="76" t="str">
        <f>IFERROR(IF(ISNUMBER(AK12),INDEX('1.Locations'!$L$2:$L$16,AK12 + 1) + AQ11," ")," ")</f>
        <v xml:space="preserve"> </v>
      </c>
      <c r="AR12" s="77" t="str">
        <f>IFERROR(IF(ISNUMBER(AK12),INDEX('1.Locations'!$J$2:$J$16,AK12 + 1)," ")," ")</f>
        <v xml:space="preserve"> </v>
      </c>
      <c r="AS12" s="77" t="str">
        <f>IFERROR(IF(ISNUMBER(AK12),INDEX('1.Locations'!$K$2:$K$16,AK12 + 1)," ")," ")</f>
        <v xml:space="preserve"> </v>
      </c>
      <c r="AT12" s="77" t="str">
        <f>IFERROR(IF(ISNUMBER(AK12),IF(AJ12 = AJ5, 0, AR12 + AT11)," ")," ")</f>
        <v xml:space="preserve"> </v>
      </c>
      <c r="AU12" s="77" t="str">
        <f>IFERROR(IF(ISNUMBER(AK12),IF(AJ13 = AJ5, 0, IF(AJ13 = "", 0, AU13 + AS13))," ")," ")</f>
        <v xml:space="preserve"> </v>
      </c>
      <c r="AV12" s="76" t="str">
        <f t="shared" si="2"/>
        <v xml:space="preserve"> </v>
      </c>
    </row>
    <row r="13" spans="1:48" x14ac:dyDescent="0.2">
      <c r="A13" s="27">
        <v>8</v>
      </c>
      <c r="B13" s="80" t="s">
        <v>4267</v>
      </c>
      <c r="C13" s="76">
        <f>IFERROR(MATCH(B13,'1.Locations'!$B$2:$B$16, 0) - 1," ")</f>
        <v>1</v>
      </c>
      <c r="D13" s="77">
        <f>IFERROR(IF(ISNUMBER(C13),INDEX('2.Distances'!$C$2:$C$226,C12*15+C13 + 2) +D12," ")," ")</f>
        <v>9.5030000000000001</v>
      </c>
      <c r="E13" s="78">
        <f>IFERROR(IF(ISNUMBER(C13),'3.Vehicles'!$F$2 * INDEX('2.Distances'!$D$2:$D$226,C12*15+C13 + 2) +E12," ")," ")</f>
        <v>1.0416666666666666E-2</v>
      </c>
      <c r="F13" s="79">
        <f>IFERROR(IF(ISNUMBER(C13),'3.Vehicles'!$F$2 * INDEX('2.Distances'!$D$2:$D$226,C12*15+C13 + 2) +G12," ")," ")</f>
        <v>0.34374999999999994</v>
      </c>
      <c r="G13" s="79">
        <f>IFERROR(IF(AND(C5&lt;&gt;C13,ISNUMBER(F13)),INDEX('1.Locations'!$I$2:$I$16,C13 + 1) + MAX(F13,INDEX('1.Locations'!$F$2:$F$16,C13 + 1))," ")," ")</f>
        <v>0.34374999999999994</v>
      </c>
      <c r="H13" s="78">
        <f>IFERROR(IF(AND(B13 = B5, B14 = ""), F13 - G5, G13 - G5)," ")</f>
        <v>1.041666666666663E-2</v>
      </c>
      <c r="I13" s="76">
        <f>IFERROR(IF(ISNUMBER(C13),INDEX('1.Locations'!$L$2:$L$16,C13 + 1) + I12," ")," ")</f>
        <v>0</v>
      </c>
      <c r="J13" s="77">
        <f>IFERROR(IF(ISNUMBER(C13),INDEX('1.Locations'!$J$2:$J$16,C13 + 1)," ")," ")</f>
        <v>0</v>
      </c>
      <c r="K13" s="77">
        <f>IFERROR(IF(ISNUMBER(C13),INDEX('1.Locations'!$K$2:$K$16,C13 + 1)," ")," ")</f>
        <v>0</v>
      </c>
      <c r="L13" s="77">
        <f>IFERROR(IF(ISNUMBER(C13),IF(B13 = B5, 0, J13 + L12)," ")," ")</f>
        <v>0</v>
      </c>
      <c r="M13" s="77">
        <f>IFERROR(IF(ISNUMBER(C13),IF(B14 = B5, 0, IF(B14 = "", 0, M14 + K14))," ")," ")</f>
        <v>0</v>
      </c>
      <c r="N13" s="76">
        <f t="shared" si="0"/>
        <v>0</v>
      </c>
      <c r="R13" s="27">
        <v>8</v>
      </c>
      <c r="S13" s="80"/>
      <c r="T13" s="76" t="str">
        <f>IFERROR(MATCH(S13,'1.Locations'!$B$2:$B$16, 0) - 1," ")</f>
        <v xml:space="preserve"> </v>
      </c>
      <c r="U13" s="77" t="str">
        <f>IFERROR(IF(ISNUMBER(T13),INDEX('2.Distances'!$C$2:$C$226,T12*15+T13 + 2) +U12," ")," ")</f>
        <v xml:space="preserve"> </v>
      </c>
      <c r="V13" s="78" t="str">
        <f>IFERROR(IF(ISNUMBER(T13),'3.Vehicles'!$F$2 * INDEX('2.Distances'!$D$2:$D$226,T12*15+T13 + 2) +V12," ")," ")</f>
        <v xml:space="preserve"> </v>
      </c>
      <c r="W13" s="79" t="str">
        <f>IFERROR(IF(ISNUMBER(T13),'3.Vehicles'!$F$2 * INDEX('2.Distances'!$D$2:$D$226,T12*15+T13 + 2) +X12," ")," ")</f>
        <v xml:space="preserve"> </v>
      </c>
      <c r="X13" s="79" t="str">
        <f>IFERROR(IF(AND(T5&lt;&gt;T13,ISNUMBER(W13)),INDEX('1.Locations'!$I$2:$I$16,T13 + 1) + MAX(W13,INDEX('1.Locations'!$F$2:$F$16,T13 + 1))," ")," ")</f>
        <v xml:space="preserve"> </v>
      </c>
      <c r="Y13" s="78" t="str">
        <f>IFERROR(IF(AND(S13 = S5, S14 = ""), W13 - X5, X13 - X5)," ")</f>
        <v xml:space="preserve"> </v>
      </c>
      <c r="Z13" s="76" t="str">
        <f>IFERROR(IF(ISNUMBER(T13),INDEX('1.Locations'!$L$2:$L$16,T13 + 1) + Z12," ")," ")</f>
        <v xml:space="preserve"> </v>
      </c>
      <c r="AA13" s="77" t="str">
        <f>IFERROR(IF(ISNUMBER(T13),INDEX('1.Locations'!$J$2:$J$16,T13 + 1)," ")," ")</f>
        <v xml:space="preserve"> </v>
      </c>
      <c r="AB13" s="77" t="str">
        <f>IFERROR(IF(ISNUMBER(T13),INDEX('1.Locations'!$K$2:$K$16,T13 + 1)," ")," ")</f>
        <v xml:space="preserve"> </v>
      </c>
      <c r="AC13" s="77" t="str">
        <f>IFERROR(IF(ISNUMBER(T13),IF(S13 = S5, 0, AA13 + AC12)," ")," ")</f>
        <v xml:space="preserve"> </v>
      </c>
      <c r="AD13" s="77" t="str">
        <f>IFERROR(IF(ISNUMBER(T13),IF(S14 = S5, 0, IF(S14 = "", 0, AD14 + AB14))," ")," ")</f>
        <v xml:space="preserve"> </v>
      </c>
      <c r="AE13" s="76" t="str">
        <f t="shared" si="1"/>
        <v xml:space="preserve"> </v>
      </c>
      <c r="AI13" s="27">
        <v>8</v>
      </c>
      <c r="AJ13" s="80"/>
      <c r="AK13" s="76" t="str">
        <f>IFERROR(MATCH(AJ13,'1.Locations'!$B$2:$B$16, 0) - 1," ")</f>
        <v xml:space="preserve"> </v>
      </c>
      <c r="AL13" s="77" t="str">
        <f>IFERROR(IF(ISNUMBER(AK13),INDEX('2.Distances'!$C$2:$C$226,AK12*15+AK13 + 2) +AL12," ")," ")</f>
        <v xml:space="preserve"> </v>
      </c>
      <c r="AM13" s="78" t="str">
        <f>IFERROR(IF(ISNUMBER(AK13),'3.Vehicles'!$F$2 * INDEX('2.Distances'!$D$2:$D$226,AK12*15+AK13 + 2) +AM12," ")," ")</f>
        <v xml:space="preserve"> </v>
      </c>
      <c r="AN13" s="79" t="str">
        <f>IFERROR(IF(ISNUMBER(AK13),'3.Vehicles'!$F$2 * INDEX('2.Distances'!$D$2:$D$226,AK12*15+AK13 + 2) +AO12," ")," ")</f>
        <v xml:space="preserve"> </v>
      </c>
      <c r="AO13" s="79" t="str">
        <f>IFERROR(IF(AND(AK5&lt;&gt;AK13,ISNUMBER(AN13)),INDEX('1.Locations'!$I$2:$I$16,AK13 + 1) + MAX(AN13,INDEX('1.Locations'!$F$2:$F$16,AK13 + 1))," ")," ")</f>
        <v xml:space="preserve"> </v>
      </c>
      <c r="AP13" s="78" t="str">
        <f>IFERROR(IF(AND(AJ13 = AJ5, AJ14 = ""), AN13 - AO5, AO13 - AO5)," ")</f>
        <v xml:space="preserve"> </v>
      </c>
      <c r="AQ13" s="76" t="str">
        <f>IFERROR(IF(ISNUMBER(AK13),INDEX('1.Locations'!$L$2:$L$16,AK13 + 1) + AQ12," ")," ")</f>
        <v xml:space="preserve"> </v>
      </c>
      <c r="AR13" s="77" t="str">
        <f>IFERROR(IF(ISNUMBER(AK13),INDEX('1.Locations'!$J$2:$J$16,AK13 + 1)," ")," ")</f>
        <v xml:space="preserve"> </v>
      </c>
      <c r="AS13" s="77" t="str">
        <f>IFERROR(IF(ISNUMBER(AK13),INDEX('1.Locations'!$K$2:$K$16,AK13 + 1)," ")," ")</f>
        <v xml:space="preserve"> </v>
      </c>
      <c r="AT13" s="77" t="str">
        <f>IFERROR(IF(ISNUMBER(AK13),IF(AJ13 = AJ5, 0, AR13 + AT12)," ")," ")</f>
        <v xml:space="preserve"> </v>
      </c>
      <c r="AU13" s="77" t="str">
        <f>IFERROR(IF(ISNUMBER(AK13),IF(AJ14 = AJ5, 0, IF(AJ14 = "", 0, AU14 + AS14))," ")," ")</f>
        <v xml:space="preserve"> </v>
      </c>
      <c r="AV13" s="76" t="str">
        <f t="shared" si="2"/>
        <v xml:space="preserve"> </v>
      </c>
    </row>
    <row r="14" spans="1:48" x14ac:dyDescent="0.2">
      <c r="A14" s="27">
        <v>9</v>
      </c>
      <c r="B14" s="75" t="s">
        <v>4278</v>
      </c>
      <c r="C14" s="76">
        <f>IFERROR(MATCH(B14,'1.Locations'!$B$2:$B$16, 0) - 1," ")</f>
        <v>12</v>
      </c>
      <c r="D14" s="77">
        <f>IFERROR(IF(ISNUMBER(C14),INDEX('2.Distances'!$C$2:$C$226,C13*15+C14 + 2) +D13," ")," ")</f>
        <v>10.27</v>
      </c>
      <c r="E14" s="78">
        <f>IFERROR(IF(ISNUMBER(C14),'3.Vehicles'!$F$2 * INDEX('2.Distances'!$D$2:$D$226,C13*15+C14 + 2) +E13," ")," ")</f>
        <v>1.1805555555555555E-2</v>
      </c>
      <c r="F14" s="79">
        <f>IFERROR(IF(ISNUMBER(C14),'3.Vehicles'!$F$2 * INDEX('2.Distances'!$D$2:$D$226,C13*15+C14 + 2) +G13," ")," ")</f>
        <v>0.34513888888888883</v>
      </c>
      <c r="G14" s="79">
        <f>IFERROR(IF(AND(C5&lt;&gt;C14,ISNUMBER(F14)),INDEX('1.Locations'!$I$2:$I$16,C14 + 1) + MAX(F14,INDEX('1.Locations'!$F$2:$F$16,C14 + 1))," ")," ")</f>
        <v>0.34513888888888883</v>
      </c>
      <c r="H14" s="78">
        <f>IFERROR(IF(AND(B14 = B5, B15 = ""), F14 - G5, G14 - G5)," ")</f>
        <v>1.1805555555555514E-2</v>
      </c>
      <c r="I14" s="76">
        <f>IFERROR(IF(ISNUMBER(C14),INDEX('1.Locations'!$L$2:$L$16,C14 + 1) + I13," ")," ")</f>
        <v>0</v>
      </c>
      <c r="J14" s="77">
        <f>IFERROR(IF(ISNUMBER(C14),INDEX('1.Locations'!$J$2:$J$16,C14 + 1)," ")," ")</f>
        <v>0</v>
      </c>
      <c r="K14" s="77">
        <f>IFERROR(IF(ISNUMBER(C14),INDEX('1.Locations'!$K$2:$K$16,C14 + 1)," ")," ")</f>
        <v>0</v>
      </c>
      <c r="L14" s="77">
        <f>IFERROR(IF(ISNUMBER(C14),IF(B14 = B5, 0, J14 + L13)," ")," ")</f>
        <v>0</v>
      </c>
      <c r="M14" s="77">
        <f>IFERROR(IF(ISNUMBER(C14),IF(B15 = B5, 0, IF(B15 = "", 0, M15 + K15))," ")," ")</f>
        <v>0</v>
      </c>
      <c r="N14" s="76">
        <f t="shared" si="0"/>
        <v>0</v>
      </c>
      <c r="R14" s="27">
        <v>9</v>
      </c>
      <c r="S14" s="75"/>
      <c r="T14" s="76" t="str">
        <f>IFERROR(MATCH(S14,'1.Locations'!$B$2:$B$16, 0) - 1," ")</f>
        <v xml:space="preserve"> </v>
      </c>
      <c r="U14" s="77" t="str">
        <f>IFERROR(IF(ISNUMBER(T14),INDEX('2.Distances'!$C$2:$C$226,T13*15+T14 + 2) +U13," ")," ")</f>
        <v xml:space="preserve"> </v>
      </c>
      <c r="V14" s="78" t="str">
        <f>IFERROR(IF(ISNUMBER(T14),'3.Vehicles'!$F$2 * INDEX('2.Distances'!$D$2:$D$226,T13*15+T14 + 2) +V13," ")," ")</f>
        <v xml:space="preserve"> </v>
      </c>
      <c r="W14" s="79" t="str">
        <f>IFERROR(IF(ISNUMBER(T14),'3.Vehicles'!$F$2 * INDEX('2.Distances'!$D$2:$D$226,T13*15+T14 + 2) +X13," ")," ")</f>
        <v xml:space="preserve"> </v>
      </c>
      <c r="X14" s="79" t="str">
        <f>IFERROR(IF(AND(T5&lt;&gt;T14,ISNUMBER(W14)),INDEX('1.Locations'!$I$2:$I$16,T14 + 1) + MAX(W14,INDEX('1.Locations'!$F$2:$F$16,T14 + 1))," ")," ")</f>
        <v xml:space="preserve"> </v>
      </c>
      <c r="Y14" s="78" t="str">
        <f>IFERROR(IF(AND(S14 = S5, S15 = ""), W14 - X5, X14 - X5)," ")</f>
        <v xml:space="preserve"> </v>
      </c>
      <c r="Z14" s="76" t="str">
        <f>IFERROR(IF(ISNUMBER(T14),INDEX('1.Locations'!$L$2:$L$16,T14 + 1) + Z13," ")," ")</f>
        <v xml:space="preserve"> </v>
      </c>
      <c r="AA14" s="77" t="str">
        <f>IFERROR(IF(ISNUMBER(T14),INDEX('1.Locations'!$J$2:$J$16,T14 + 1)," ")," ")</f>
        <v xml:space="preserve"> </v>
      </c>
      <c r="AB14" s="77" t="str">
        <f>IFERROR(IF(ISNUMBER(T14),INDEX('1.Locations'!$K$2:$K$16,T14 + 1)," ")," ")</f>
        <v xml:space="preserve"> </v>
      </c>
      <c r="AC14" s="77" t="str">
        <f>IFERROR(IF(ISNUMBER(T14),IF(S14 = S5, 0, AA14 + AC13)," ")," ")</f>
        <v xml:space="preserve"> </v>
      </c>
      <c r="AD14" s="77" t="str">
        <f>IFERROR(IF(ISNUMBER(T14),IF(S15 = S5, 0, IF(S15 = "", 0, AD15 + AB15))," ")," ")</f>
        <v xml:space="preserve"> </v>
      </c>
      <c r="AE14" s="76" t="str">
        <f t="shared" si="1"/>
        <v xml:space="preserve"> </v>
      </c>
      <c r="AI14" s="27">
        <v>9</v>
      </c>
      <c r="AJ14" s="75"/>
      <c r="AK14" s="76" t="str">
        <f>IFERROR(MATCH(AJ14,'1.Locations'!$B$2:$B$16, 0) - 1," ")</f>
        <v xml:space="preserve"> </v>
      </c>
      <c r="AL14" s="77" t="str">
        <f>IFERROR(IF(ISNUMBER(AK14),INDEX('2.Distances'!$C$2:$C$226,AK13*15+AK14 + 2) +AL13," ")," ")</f>
        <v xml:space="preserve"> </v>
      </c>
      <c r="AM14" s="78" t="str">
        <f>IFERROR(IF(ISNUMBER(AK14),'3.Vehicles'!$F$2 * INDEX('2.Distances'!$D$2:$D$226,AK13*15+AK14 + 2) +AM13," ")," ")</f>
        <v xml:space="preserve"> </v>
      </c>
      <c r="AN14" s="79" t="str">
        <f>IFERROR(IF(ISNUMBER(AK14),'3.Vehicles'!$F$2 * INDEX('2.Distances'!$D$2:$D$226,AK13*15+AK14 + 2) +AO13," ")," ")</f>
        <v xml:space="preserve"> </v>
      </c>
      <c r="AO14" s="79" t="str">
        <f>IFERROR(IF(AND(AK5&lt;&gt;AK14,ISNUMBER(AN14)),INDEX('1.Locations'!$I$2:$I$16,AK14 + 1) + MAX(AN14,INDEX('1.Locations'!$F$2:$F$16,AK14 + 1))," ")," ")</f>
        <v xml:space="preserve"> </v>
      </c>
      <c r="AP14" s="78" t="str">
        <f>IFERROR(IF(AND(AJ14 = AJ5, AJ15 = ""), AN14 - AO5, AO14 - AO5)," ")</f>
        <v xml:space="preserve"> </v>
      </c>
      <c r="AQ14" s="76" t="str">
        <f>IFERROR(IF(ISNUMBER(AK14),INDEX('1.Locations'!$L$2:$L$16,AK14 + 1) + AQ13," ")," ")</f>
        <v xml:space="preserve"> </v>
      </c>
      <c r="AR14" s="77" t="str">
        <f>IFERROR(IF(ISNUMBER(AK14),INDEX('1.Locations'!$J$2:$J$16,AK14 + 1)," ")," ")</f>
        <v xml:space="preserve"> </v>
      </c>
      <c r="AS14" s="77" t="str">
        <f>IFERROR(IF(ISNUMBER(AK14),INDEX('1.Locations'!$K$2:$K$16,AK14 + 1)," ")," ")</f>
        <v xml:space="preserve"> </v>
      </c>
      <c r="AT14" s="77" t="str">
        <f>IFERROR(IF(ISNUMBER(AK14),IF(AJ14 = AJ5, 0, AR14 + AT13)," ")," ")</f>
        <v xml:space="preserve"> </v>
      </c>
      <c r="AU14" s="77" t="str">
        <f>IFERROR(IF(ISNUMBER(AK14),IF(AJ15 = AJ5, 0, IF(AJ15 = "", 0, AU15 + AS15))," ")," ")</f>
        <v xml:space="preserve"> </v>
      </c>
      <c r="AV14" s="76" t="str">
        <f t="shared" si="2"/>
        <v xml:space="preserve"> </v>
      </c>
    </row>
    <row r="15" spans="1:48" x14ac:dyDescent="0.2">
      <c r="A15" s="27">
        <v>10</v>
      </c>
      <c r="B15" s="80" t="s">
        <v>4277</v>
      </c>
      <c r="C15" s="76">
        <f>IFERROR(MATCH(B15,'1.Locations'!$B$2:$B$16, 0) - 1," ")</f>
        <v>11</v>
      </c>
      <c r="D15" s="77">
        <f>IFERROR(IF(ISNUMBER(C15),INDEX('2.Distances'!$C$2:$C$226,C14*15+C15 + 2) +D14," ")," ")</f>
        <v>12.295999999999999</v>
      </c>
      <c r="E15" s="78">
        <f>IFERROR(IF(ISNUMBER(C15),'3.Vehicles'!$F$2 * INDEX('2.Distances'!$D$2:$D$226,C14*15+C15 + 2) +E14," ")," ")</f>
        <v>1.4583333333333334E-2</v>
      </c>
      <c r="F15" s="79">
        <f>IFERROR(IF(ISNUMBER(C15),'3.Vehicles'!$F$2 * INDEX('2.Distances'!$D$2:$D$226,C14*15+C15 + 2) +G14," ")," ")</f>
        <v>0.3479166666666666</v>
      </c>
      <c r="G15" s="79">
        <f>IFERROR(IF(AND(C5&lt;&gt;C15,ISNUMBER(F15)),INDEX('1.Locations'!$I$2:$I$16,C15 + 1) + MAX(F15,INDEX('1.Locations'!$F$2:$F$16,C15 + 1))," ")," ")</f>
        <v>0.3479166666666666</v>
      </c>
      <c r="H15" s="78">
        <f>IFERROR(IF(AND(B15 = B5, B16 = ""), F15 - G5, G15 - G5)," ")</f>
        <v>1.4583333333333282E-2</v>
      </c>
      <c r="I15" s="76">
        <f>IFERROR(IF(ISNUMBER(C15),INDEX('1.Locations'!$L$2:$L$16,C15 + 1) + I14," ")," ")</f>
        <v>0</v>
      </c>
      <c r="J15" s="77">
        <f>IFERROR(IF(ISNUMBER(C15),INDEX('1.Locations'!$J$2:$J$16,C15 + 1)," ")," ")</f>
        <v>0</v>
      </c>
      <c r="K15" s="77">
        <f>IFERROR(IF(ISNUMBER(C15),INDEX('1.Locations'!$K$2:$K$16,C15 + 1)," ")," ")</f>
        <v>0</v>
      </c>
      <c r="L15" s="77">
        <f>IFERROR(IF(ISNUMBER(C15),IF(B15 = B5, 0, J15 + L14)," ")," ")</f>
        <v>0</v>
      </c>
      <c r="M15" s="77">
        <f>IFERROR(IF(ISNUMBER(C15),IF(B16 = B5, 0, IF(B16 = "", 0, M16 + K16))," ")," ")</f>
        <v>0</v>
      </c>
      <c r="N15" s="76">
        <f t="shared" si="0"/>
        <v>0</v>
      </c>
      <c r="R15" s="27">
        <v>10</v>
      </c>
      <c r="S15" s="80"/>
      <c r="T15" s="76" t="str">
        <f>IFERROR(MATCH(S15,'1.Locations'!$B$2:$B$16, 0) - 1," ")</f>
        <v xml:space="preserve"> </v>
      </c>
      <c r="U15" s="77" t="str">
        <f>IFERROR(IF(ISNUMBER(T15),INDEX('2.Distances'!$C$2:$C$226,T14*15+T15 + 2) +U14," ")," ")</f>
        <v xml:space="preserve"> </v>
      </c>
      <c r="V15" s="78" t="str">
        <f>IFERROR(IF(ISNUMBER(T15),'3.Vehicles'!$F$2 * INDEX('2.Distances'!$D$2:$D$226,T14*15+T15 + 2) +V14," ")," ")</f>
        <v xml:space="preserve"> </v>
      </c>
      <c r="W15" s="79" t="str">
        <f>IFERROR(IF(ISNUMBER(T15),'3.Vehicles'!$F$2 * INDEX('2.Distances'!$D$2:$D$226,T14*15+T15 + 2) +X14," ")," ")</f>
        <v xml:space="preserve"> </v>
      </c>
      <c r="X15" s="79" t="str">
        <f>IFERROR(IF(AND(T5&lt;&gt;T15,ISNUMBER(W15)),INDEX('1.Locations'!$I$2:$I$16,T15 + 1) + MAX(W15,INDEX('1.Locations'!$F$2:$F$16,T15 + 1))," ")," ")</f>
        <v xml:space="preserve"> </v>
      </c>
      <c r="Y15" s="78" t="str">
        <f>IFERROR(IF(AND(S15 = S5, S16 = ""), W15 - X5, X15 - X5)," ")</f>
        <v xml:space="preserve"> </v>
      </c>
      <c r="Z15" s="76" t="str">
        <f>IFERROR(IF(ISNUMBER(T15),INDEX('1.Locations'!$L$2:$L$16,T15 + 1) + Z14," ")," ")</f>
        <v xml:space="preserve"> </v>
      </c>
      <c r="AA15" s="77" t="str">
        <f>IFERROR(IF(ISNUMBER(T15),INDEX('1.Locations'!$J$2:$J$16,T15 + 1)," ")," ")</f>
        <v xml:space="preserve"> </v>
      </c>
      <c r="AB15" s="77" t="str">
        <f>IFERROR(IF(ISNUMBER(T15),INDEX('1.Locations'!$K$2:$K$16,T15 + 1)," ")," ")</f>
        <v xml:space="preserve"> </v>
      </c>
      <c r="AC15" s="77" t="str">
        <f>IFERROR(IF(ISNUMBER(T15),IF(S15 = S5, 0, AA15 + AC14)," ")," ")</f>
        <v xml:space="preserve"> </v>
      </c>
      <c r="AD15" s="77" t="str">
        <f>IFERROR(IF(ISNUMBER(T15),IF(S16 = S5, 0, IF(S16 = "", 0, AD16 + AB16))," ")," ")</f>
        <v xml:space="preserve"> </v>
      </c>
      <c r="AE15" s="76" t="str">
        <f t="shared" si="1"/>
        <v xml:space="preserve"> </v>
      </c>
      <c r="AI15" s="27">
        <v>10</v>
      </c>
      <c r="AJ15" s="80"/>
      <c r="AK15" s="76" t="str">
        <f>IFERROR(MATCH(AJ15,'1.Locations'!$B$2:$B$16, 0) - 1," ")</f>
        <v xml:space="preserve"> </v>
      </c>
      <c r="AL15" s="77" t="str">
        <f>IFERROR(IF(ISNUMBER(AK15),INDEX('2.Distances'!$C$2:$C$226,AK14*15+AK15 + 2) +AL14," ")," ")</f>
        <v xml:space="preserve"> </v>
      </c>
      <c r="AM15" s="78" t="str">
        <f>IFERROR(IF(ISNUMBER(AK15),'3.Vehicles'!$F$2 * INDEX('2.Distances'!$D$2:$D$226,AK14*15+AK15 + 2) +AM14," ")," ")</f>
        <v xml:space="preserve"> </v>
      </c>
      <c r="AN15" s="79" t="str">
        <f>IFERROR(IF(ISNUMBER(AK15),'3.Vehicles'!$F$2 * INDEX('2.Distances'!$D$2:$D$226,AK14*15+AK15 + 2) +AO14," ")," ")</f>
        <v xml:space="preserve"> </v>
      </c>
      <c r="AO15" s="79" t="str">
        <f>IFERROR(IF(AND(AK5&lt;&gt;AK15,ISNUMBER(AN15)),INDEX('1.Locations'!$I$2:$I$16,AK15 + 1) + MAX(AN15,INDEX('1.Locations'!$F$2:$F$16,AK15 + 1))," ")," ")</f>
        <v xml:space="preserve"> </v>
      </c>
      <c r="AP15" s="78" t="str">
        <f>IFERROR(IF(AND(AJ15 = AJ5, AJ16 = ""), AN15 - AO5, AO15 - AO5)," ")</f>
        <v xml:space="preserve"> </v>
      </c>
      <c r="AQ15" s="76" t="str">
        <f>IFERROR(IF(ISNUMBER(AK15),INDEX('1.Locations'!$L$2:$L$16,AK15 + 1) + AQ14," ")," ")</f>
        <v xml:space="preserve"> </v>
      </c>
      <c r="AR15" s="77" t="str">
        <f>IFERROR(IF(ISNUMBER(AK15),INDEX('1.Locations'!$J$2:$J$16,AK15 + 1)," ")," ")</f>
        <v xml:space="preserve"> </v>
      </c>
      <c r="AS15" s="77" t="str">
        <f>IFERROR(IF(ISNUMBER(AK15),INDEX('1.Locations'!$K$2:$K$16,AK15 + 1)," ")," ")</f>
        <v xml:space="preserve"> </v>
      </c>
      <c r="AT15" s="77" t="str">
        <f>IFERROR(IF(ISNUMBER(AK15),IF(AJ15 = AJ5, 0, AR15 + AT14)," ")," ")</f>
        <v xml:space="preserve"> </v>
      </c>
      <c r="AU15" s="77" t="str">
        <f>IFERROR(IF(ISNUMBER(AK15),IF(AJ16 = AJ5, 0, IF(AJ16 = "", 0, AU16 + AS16))," ")," ")</f>
        <v xml:space="preserve"> </v>
      </c>
      <c r="AV15" s="76" t="str">
        <f t="shared" si="2"/>
        <v xml:space="preserve"> </v>
      </c>
    </row>
    <row r="16" spans="1:48" x14ac:dyDescent="0.2">
      <c r="A16" s="27">
        <v>11</v>
      </c>
      <c r="B16" s="75" t="s">
        <v>4276</v>
      </c>
      <c r="C16" s="76">
        <f>IFERROR(MATCH(B16,'1.Locations'!$B$2:$B$16, 0) - 1," ")</f>
        <v>10</v>
      </c>
      <c r="D16" s="77">
        <f>IFERROR(IF(ISNUMBER(C16),INDEX('2.Distances'!$C$2:$C$226,C15*15+C16 + 2) +D15," ")," ")</f>
        <v>13.006</v>
      </c>
      <c r="E16" s="78">
        <f>IFERROR(IF(ISNUMBER(C16),'3.Vehicles'!$F$2 * INDEX('2.Distances'!$D$2:$D$226,C15*15+C16 + 2) +E15," ")," ")</f>
        <v>1.5277777777777777E-2</v>
      </c>
      <c r="F16" s="79">
        <f>IFERROR(IF(ISNUMBER(C16),'3.Vehicles'!$F$2 * INDEX('2.Distances'!$D$2:$D$226,C15*15+C16 + 2) +G15," ")," ")</f>
        <v>0.34861111111111104</v>
      </c>
      <c r="G16" s="79">
        <f>IFERROR(IF(AND(C5&lt;&gt;C16,ISNUMBER(F16)),INDEX('1.Locations'!$I$2:$I$16,C16 + 1) + MAX(F16,INDEX('1.Locations'!$F$2:$F$16,C16 + 1))," ")," ")</f>
        <v>0.34861111111111104</v>
      </c>
      <c r="H16" s="78">
        <f>IFERROR(IF(AND(B16 = B5, B17 = ""), F16 - G5, G16 - G5)," ")</f>
        <v>1.5277777777777724E-2</v>
      </c>
      <c r="I16" s="76">
        <f>IFERROR(IF(ISNUMBER(C16),INDEX('1.Locations'!$L$2:$L$16,C16 + 1) + I15," ")," ")</f>
        <v>0</v>
      </c>
      <c r="J16" s="77">
        <f>IFERROR(IF(ISNUMBER(C16),INDEX('1.Locations'!$J$2:$J$16,C16 + 1)," ")," ")</f>
        <v>0</v>
      </c>
      <c r="K16" s="77">
        <f>IFERROR(IF(ISNUMBER(C16),INDEX('1.Locations'!$K$2:$K$16,C16 + 1)," ")," ")</f>
        <v>0</v>
      </c>
      <c r="L16" s="77">
        <f>IFERROR(IF(ISNUMBER(C16),IF(B16 = B5, 0, J16 + L15)," ")," ")</f>
        <v>0</v>
      </c>
      <c r="M16" s="77">
        <f>IFERROR(IF(ISNUMBER(C16),IF(B17 = B5, 0, IF(B17 = "", 0, M17 + K17))," ")," ")</f>
        <v>0</v>
      </c>
      <c r="N16" s="76">
        <f t="shared" si="0"/>
        <v>0</v>
      </c>
      <c r="R16" s="27">
        <v>11</v>
      </c>
      <c r="S16" s="75"/>
      <c r="T16" s="76" t="str">
        <f>IFERROR(MATCH(S16,'1.Locations'!$B$2:$B$16, 0) - 1," ")</f>
        <v xml:space="preserve"> </v>
      </c>
      <c r="U16" s="77" t="str">
        <f>IFERROR(IF(ISNUMBER(T16),INDEX('2.Distances'!$C$2:$C$226,T15*15+T16 + 2) +U15," ")," ")</f>
        <v xml:space="preserve"> </v>
      </c>
      <c r="V16" s="78" t="str">
        <f>IFERROR(IF(ISNUMBER(T16),'3.Vehicles'!$F$2 * INDEX('2.Distances'!$D$2:$D$226,T15*15+T16 + 2) +V15," ")," ")</f>
        <v xml:space="preserve"> </v>
      </c>
      <c r="W16" s="79" t="str">
        <f>IFERROR(IF(ISNUMBER(T16),'3.Vehicles'!$F$2 * INDEX('2.Distances'!$D$2:$D$226,T15*15+T16 + 2) +X15," ")," ")</f>
        <v xml:space="preserve"> </v>
      </c>
      <c r="X16" s="79" t="str">
        <f>IFERROR(IF(AND(T5&lt;&gt;T16,ISNUMBER(W16)),INDEX('1.Locations'!$I$2:$I$16,T16 + 1) + MAX(W16,INDEX('1.Locations'!$F$2:$F$16,T16 + 1))," ")," ")</f>
        <v xml:space="preserve"> </v>
      </c>
      <c r="Y16" s="78" t="str">
        <f>IFERROR(IF(AND(S16 = S5, S17 = ""), W16 - X5, X16 - X5)," ")</f>
        <v xml:space="preserve"> </v>
      </c>
      <c r="Z16" s="76" t="str">
        <f>IFERROR(IF(ISNUMBER(T16),INDEX('1.Locations'!$L$2:$L$16,T16 + 1) + Z15," ")," ")</f>
        <v xml:space="preserve"> </v>
      </c>
      <c r="AA16" s="77" t="str">
        <f>IFERROR(IF(ISNUMBER(T16),INDEX('1.Locations'!$J$2:$J$16,T16 + 1)," ")," ")</f>
        <v xml:space="preserve"> </v>
      </c>
      <c r="AB16" s="77" t="str">
        <f>IFERROR(IF(ISNUMBER(T16),INDEX('1.Locations'!$K$2:$K$16,T16 + 1)," ")," ")</f>
        <v xml:space="preserve"> </v>
      </c>
      <c r="AC16" s="77" t="str">
        <f>IFERROR(IF(ISNUMBER(T16),IF(S16 = S5, 0, AA16 + AC15)," ")," ")</f>
        <v xml:space="preserve"> </v>
      </c>
      <c r="AD16" s="77" t="str">
        <f>IFERROR(IF(ISNUMBER(T16),IF(S17 = S5, 0, IF(S17 = "", 0, AD17 + AB17))," ")," ")</f>
        <v xml:space="preserve"> </v>
      </c>
      <c r="AE16" s="76" t="str">
        <f t="shared" si="1"/>
        <v xml:space="preserve"> </v>
      </c>
      <c r="AI16" s="27">
        <v>11</v>
      </c>
      <c r="AJ16" s="75"/>
      <c r="AK16" s="76" t="str">
        <f>IFERROR(MATCH(AJ16,'1.Locations'!$B$2:$B$16, 0) - 1," ")</f>
        <v xml:space="preserve"> </v>
      </c>
      <c r="AL16" s="77" t="str">
        <f>IFERROR(IF(ISNUMBER(AK16),INDEX('2.Distances'!$C$2:$C$226,AK15*15+AK16 + 2) +AL15," ")," ")</f>
        <v xml:space="preserve"> </v>
      </c>
      <c r="AM16" s="78" t="str">
        <f>IFERROR(IF(ISNUMBER(AK16),'3.Vehicles'!$F$2 * INDEX('2.Distances'!$D$2:$D$226,AK15*15+AK16 + 2) +AM15," ")," ")</f>
        <v xml:space="preserve"> </v>
      </c>
      <c r="AN16" s="79" t="str">
        <f>IFERROR(IF(ISNUMBER(AK16),'3.Vehicles'!$F$2 * INDEX('2.Distances'!$D$2:$D$226,AK15*15+AK16 + 2) +AO15," ")," ")</f>
        <v xml:space="preserve"> </v>
      </c>
      <c r="AO16" s="79" t="str">
        <f>IFERROR(IF(AND(AK5&lt;&gt;AK16,ISNUMBER(AN16)),INDEX('1.Locations'!$I$2:$I$16,AK16 + 1) + MAX(AN16,INDEX('1.Locations'!$F$2:$F$16,AK16 + 1))," ")," ")</f>
        <v xml:space="preserve"> </v>
      </c>
      <c r="AP16" s="78" t="str">
        <f>IFERROR(IF(AND(AJ16 = AJ5, AJ17 = ""), AN16 - AO5, AO16 - AO5)," ")</f>
        <v xml:space="preserve"> </v>
      </c>
      <c r="AQ16" s="76" t="str">
        <f>IFERROR(IF(ISNUMBER(AK16),INDEX('1.Locations'!$L$2:$L$16,AK16 + 1) + AQ15," ")," ")</f>
        <v xml:space="preserve"> </v>
      </c>
      <c r="AR16" s="77" t="str">
        <f>IFERROR(IF(ISNUMBER(AK16),INDEX('1.Locations'!$J$2:$J$16,AK16 + 1)," ")," ")</f>
        <v xml:space="preserve"> </v>
      </c>
      <c r="AS16" s="77" t="str">
        <f>IFERROR(IF(ISNUMBER(AK16),INDEX('1.Locations'!$K$2:$K$16,AK16 + 1)," ")," ")</f>
        <v xml:space="preserve"> </v>
      </c>
      <c r="AT16" s="77" t="str">
        <f>IFERROR(IF(ISNUMBER(AK16),IF(AJ16 = AJ5, 0, AR16 + AT15)," ")," ")</f>
        <v xml:space="preserve"> </v>
      </c>
      <c r="AU16" s="77" t="str">
        <f>IFERROR(IF(ISNUMBER(AK16),IF(AJ17 = AJ5, 0, IF(AJ17 = "", 0, AU17 + AS17))," ")," ")</f>
        <v xml:space="preserve"> </v>
      </c>
      <c r="AV16" s="76" t="str">
        <f t="shared" si="2"/>
        <v xml:space="preserve"> </v>
      </c>
    </row>
    <row r="17" spans="1:48" x14ac:dyDescent="0.2">
      <c r="A17" s="27">
        <v>12</v>
      </c>
      <c r="B17" s="80" t="s">
        <v>4268</v>
      </c>
      <c r="C17" s="76">
        <f>IFERROR(MATCH(B17,'1.Locations'!$B$2:$B$16, 0) - 1," ")</f>
        <v>2</v>
      </c>
      <c r="D17" s="77">
        <f>IFERROR(IF(ISNUMBER(C17),INDEX('2.Distances'!$C$2:$C$226,C16*15+C17 + 2) +D16," ")," ")</f>
        <v>17.344999999999999</v>
      </c>
      <c r="E17" s="78">
        <f>IFERROR(IF(ISNUMBER(C17),'3.Vehicles'!$F$2 * INDEX('2.Distances'!$D$2:$D$226,C16*15+C17 + 2) +E16," ")," ")</f>
        <v>2.0138888888888887E-2</v>
      </c>
      <c r="F17" s="79">
        <f>IFERROR(IF(ISNUMBER(C17),'3.Vehicles'!$F$2 * INDEX('2.Distances'!$D$2:$D$226,C16*15+C17 + 2) +G16," ")," ")</f>
        <v>0.35347222222222213</v>
      </c>
      <c r="G17" s="79">
        <f>IFERROR(IF(AND(C5&lt;&gt;C17,ISNUMBER(F17)),INDEX('1.Locations'!$I$2:$I$16,C17 + 1) + MAX(F17,INDEX('1.Locations'!$F$2:$F$16,C17 + 1))," ")," ")</f>
        <v>0.35347222222222213</v>
      </c>
      <c r="H17" s="78">
        <f>IFERROR(IF(AND(B17 = B5, B18 = ""), F17 - G5, G17 - G5)," ")</f>
        <v>2.0138888888888817E-2</v>
      </c>
      <c r="I17" s="76">
        <f>IFERROR(IF(ISNUMBER(C17),INDEX('1.Locations'!$L$2:$L$16,C17 + 1) + I16," ")," ")</f>
        <v>0</v>
      </c>
      <c r="J17" s="77">
        <f>IFERROR(IF(ISNUMBER(C17),INDEX('1.Locations'!$J$2:$J$16,C17 + 1)," ")," ")</f>
        <v>0</v>
      </c>
      <c r="K17" s="77">
        <f>IFERROR(IF(ISNUMBER(C17),INDEX('1.Locations'!$K$2:$K$16,C17 + 1)," ")," ")</f>
        <v>0</v>
      </c>
      <c r="L17" s="77">
        <f>IFERROR(IF(ISNUMBER(C17),IF(B17 = B5, 0, J17 + L16)," ")," ")</f>
        <v>0</v>
      </c>
      <c r="M17" s="77">
        <f>IFERROR(IF(ISNUMBER(C17),IF(B18 = B5, 0, IF(B18 = "", 0, M18 + K18))," ")," ")</f>
        <v>0</v>
      </c>
      <c r="N17" s="76">
        <f t="shared" si="0"/>
        <v>0</v>
      </c>
      <c r="R17" s="27">
        <v>12</v>
      </c>
      <c r="S17" s="80"/>
      <c r="T17" s="76" t="str">
        <f>IFERROR(MATCH(S17,'1.Locations'!$B$2:$B$16, 0) - 1," ")</f>
        <v xml:space="preserve"> </v>
      </c>
      <c r="U17" s="77" t="str">
        <f>IFERROR(IF(ISNUMBER(T17),INDEX('2.Distances'!$C$2:$C$226,T16*15+T17 + 2) +U16," ")," ")</f>
        <v xml:space="preserve"> </v>
      </c>
      <c r="V17" s="78" t="str">
        <f>IFERROR(IF(ISNUMBER(T17),'3.Vehicles'!$F$2 * INDEX('2.Distances'!$D$2:$D$226,T16*15+T17 + 2) +V16," ")," ")</f>
        <v xml:space="preserve"> </v>
      </c>
      <c r="W17" s="79" t="str">
        <f>IFERROR(IF(ISNUMBER(T17),'3.Vehicles'!$F$2 * INDEX('2.Distances'!$D$2:$D$226,T16*15+T17 + 2) +X16," ")," ")</f>
        <v xml:space="preserve"> </v>
      </c>
      <c r="X17" s="79" t="str">
        <f>IFERROR(IF(AND(T5&lt;&gt;T17,ISNUMBER(W17)),INDEX('1.Locations'!$I$2:$I$16,T17 + 1) + MAX(W17,INDEX('1.Locations'!$F$2:$F$16,T17 + 1))," ")," ")</f>
        <v xml:space="preserve"> </v>
      </c>
      <c r="Y17" s="78" t="str">
        <f>IFERROR(IF(AND(S17 = S5, S18 = ""), W17 - X5, X17 - X5)," ")</f>
        <v xml:space="preserve"> </v>
      </c>
      <c r="Z17" s="76" t="str">
        <f>IFERROR(IF(ISNUMBER(T17),INDEX('1.Locations'!$L$2:$L$16,T17 + 1) + Z16," ")," ")</f>
        <v xml:space="preserve"> </v>
      </c>
      <c r="AA17" s="77" t="str">
        <f>IFERROR(IF(ISNUMBER(T17),INDEX('1.Locations'!$J$2:$J$16,T17 + 1)," ")," ")</f>
        <v xml:space="preserve"> </v>
      </c>
      <c r="AB17" s="77" t="str">
        <f>IFERROR(IF(ISNUMBER(T17),INDEX('1.Locations'!$K$2:$K$16,T17 + 1)," ")," ")</f>
        <v xml:space="preserve"> </v>
      </c>
      <c r="AC17" s="77" t="str">
        <f>IFERROR(IF(ISNUMBER(T17),IF(S17 = S5, 0, AA17 + AC16)," ")," ")</f>
        <v xml:space="preserve"> </v>
      </c>
      <c r="AD17" s="77" t="str">
        <f>IFERROR(IF(ISNUMBER(T17),IF(S18 = S5, 0, IF(S18 = "", 0, AD18 + AB18))," ")," ")</f>
        <v xml:space="preserve"> </v>
      </c>
      <c r="AE17" s="76" t="str">
        <f t="shared" si="1"/>
        <v xml:space="preserve"> </v>
      </c>
      <c r="AI17" s="27">
        <v>12</v>
      </c>
      <c r="AJ17" s="80"/>
      <c r="AK17" s="76" t="str">
        <f>IFERROR(MATCH(AJ17,'1.Locations'!$B$2:$B$16, 0) - 1," ")</f>
        <v xml:space="preserve"> </v>
      </c>
      <c r="AL17" s="77" t="str">
        <f>IFERROR(IF(ISNUMBER(AK17),INDEX('2.Distances'!$C$2:$C$226,AK16*15+AK17 + 2) +AL16," ")," ")</f>
        <v xml:space="preserve"> </v>
      </c>
      <c r="AM17" s="78" t="str">
        <f>IFERROR(IF(ISNUMBER(AK17),'3.Vehicles'!$F$2 * INDEX('2.Distances'!$D$2:$D$226,AK16*15+AK17 + 2) +AM16," ")," ")</f>
        <v xml:space="preserve"> </v>
      </c>
      <c r="AN17" s="79" t="str">
        <f>IFERROR(IF(ISNUMBER(AK17),'3.Vehicles'!$F$2 * INDEX('2.Distances'!$D$2:$D$226,AK16*15+AK17 + 2) +AO16," ")," ")</f>
        <v xml:space="preserve"> </v>
      </c>
      <c r="AO17" s="79" t="str">
        <f>IFERROR(IF(AND(AK5&lt;&gt;AK17,ISNUMBER(AN17)),INDEX('1.Locations'!$I$2:$I$16,AK17 + 1) + MAX(AN17,INDEX('1.Locations'!$F$2:$F$16,AK17 + 1))," ")," ")</f>
        <v xml:space="preserve"> </v>
      </c>
      <c r="AP17" s="78" t="str">
        <f>IFERROR(IF(AND(AJ17 = AJ5, AJ18 = ""), AN17 - AO5, AO17 - AO5)," ")</f>
        <v xml:space="preserve"> </v>
      </c>
      <c r="AQ17" s="76" t="str">
        <f>IFERROR(IF(ISNUMBER(AK17),INDEX('1.Locations'!$L$2:$L$16,AK17 + 1) + AQ16," ")," ")</f>
        <v xml:space="preserve"> </v>
      </c>
      <c r="AR17" s="77" t="str">
        <f>IFERROR(IF(ISNUMBER(AK17),INDEX('1.Locations'!$J$2:$J$16,AK17 + 1)," ")," ")</f>
        <v xml:space="preserve"> </v>
      </c>
      <c r="AS17" s="77" t="str">
        <f>IFERROR(IF(ISNUMBER(AK17),INDEX('1.Locations'!$K$2:$K$16,AK17 + 1)," ")," ")</f>
        <v xml:space="preserve"> </v>
      </c>
      <c r="AT17" s="77" t="str">
        <f>IFERROR(IF(ISNUMBER(AK17),IF(AJ17 = AJ5, 0, AR17 + AT16)," ")," ")</f>
        <v xml:space="preserve"> </v>
      </c>
      <c r="AU17" s="77" t="str">
        <f>IFERROR(IF(ISNUMBER(AK17),IF(AJ18 = AJ5, 0, IF(AJ18 = "", 0, AU18 + AS18))," ")," ")</f>
        <v xml:space="preserve"> </v>
      </c>
      <c r="AV17" s="76" t="str">
        <f t="shared" si="2"/>
        <v xml:space="preserve"> </v>
      </c>
    </row>
    <row r="18" spans="1:48" x14ac:dyDescent="0.2">
      <c r="A18" s="27">
        <v>13</v>
      </c>
      <c r="B18" s="75" t="s">
        <v>4279</v>
      </c>
      <c r="C18" s="76">
        <f>IFERROR(MATCH(B18,'1.Locations'!$B$2:$B$16, 0) - 1," ")</f>
        <v>13</v>
      </c>
      <c r="D18" s="77">
        <f>IFERROR(IF(ISNUMBER(C18),INDEX('2.Distances'!$C$2:$C$226,C17*15+C18 + 2) +D17," ")," ")</f>
        <v>18.338999999999999</v>
      </c>
      <c r="E18" s="78">
        <f>IFERROR(IF(ISNUMBER(C18),'3.Vehicles'!$F$2 * INDEX('2.Distances'!$D$2:$D$226,C17*15+C18 + 2) +E17," ")," ")</f>
        <v>2.222222222222222E-2</v>
      </c>
      <c r="F18" s="79">
        <f>IFERROR(IF(ISNUMBER(C18),'3.Vehicles'!$F$2 * INDEX('2.Distances'!$D$2:$D$226,C17*15+C18 + 2) +G17," ")," ")</f>
        <v>0.35555555555555546</v>
      </c>
      <c r="G18" s="79">
        <f>IFERROR(IF(AND(C5&lt;&gt;C18,ISNUMBER(F18)),INDEX('1.Locations'!$I$2:$I$16,C18 + 1) + MAX(F18,INDEX('1.Locations'!$F$2:$F$16,C18 + 1))," ")," ")</f>
        <v>0.35555555555555546</v>
      </c>
      <c r="H18" s="78">
        <f>IFERROR(IF(AND(B18 = B5, B19 = ""), F18 - G5, G18 - G5)," ")</f>
        <v>2.2222222222222143E-2</v>
      </c>
      <c r="I18" s="76">
        <f>IFERROR(IF(ISNUMBER(C18),INDEX('1.Locations'!$L$2:$L$16,C18 + 1) + I17," ")," ")</f>
        <v>0</v>
      </c>
      <c r="J18" s="77">
        <f>IFERROR(IF(ISNUMBER(C18),INDEX('1.Locations'!$J$2:$J$16,C18 + 1)," ")," ")</f>
        <v>0</v>
      </c>
      <c r="K18" s="77">
        <f>IFERROR(IF(ISNUMBER(C18),INDEX('1.Locations'!$K$2:$K$16,C18 + 1)," ")," ")</f>
        <v>0</v>
      </c>
      <c r="L18" s="77">
        <f>IFERROR(IF(ISNUMBER(C18),IF(B18 = B5, 0, J18 + L17)," ")," ")</f>
        <v>0</v>
      </c>
      <c r="M18" s="77">
        <f>IFERROR(IF(ISNUMBER(C18),IF(B19 = B5, 0, IF(B19 = "", 0, M19 + K19))," ")," ")</f>
        <v>0</v>
      </c>
      <c r="N18" s="76">
        <f t="shared" si="0"/>
        <v>0</v>
      </c>
      <c r="R18" s="27">
        <v>13</v>
      </c>
      <c r="S18" s="75"/>
      <c r="T18" s="76" t="str">
        <f>IFERROR(MATCH(S18,'1.Locations'!$B$2:$B$16, 0) - 1," ")</f>
        <v xml:space="preserve"> </v>
      </c>
      <c r="U18" s="77" t="str">
        <f>IFERROR(IF(ISNUMBER(T18),INDEX('2.Distances'!$C$2:$C$226,T17*15+T18 + 2) +U17," ")," ")</f>
        <v xml:space="preserve"> </v>
      </c>
      <c r="V18" s="78" t="str">
        <f>IFERROR(IF(ISNUMBER(T18),'3.Vehicles'!$F$2 * INDEX('2.Distances'!$D$2:$D$226,T17*15+T18 + 2) +V17," ")," ")</f>
        <v xml:space="preserve"> </v>
      </c>
      <c r="W18" s="79" t="str">
        <f>IFERROR(IF(ISNUMBER(T18),'3.Vehicles'!$F$2 * INDEX('2.Distances'!$D$2:$D$226,T17*15+T18 + 2) +X17," ")," ")</f>
        <v xml:space="preserve"> </v>
      </c>
      <c r="X18" s="79" t="str">
        <f>IFERROR(IF(AND(T5&lt;&gt;T18,ISNUMBER(W18)),INDEX('1.Locations'!$I$2:$I$16,T18 + 1) + MAX(W18,INDEX('1.Locations'!$F$2:$F$16,T18 + 1))," ")," ")</f>
        <v xml:space="preserve"> </v>
      </c>
      <c r="Y18" s="78" t="str">
        <f>IFERROR(IF(AND(S18 = S5, S19 = ""), W18 - X5, X18 - X5)," ")</f>
        <v xml:space="preserve"> </v>
      </c>
      <c r="Z18" s="76" t="str">
        <f>IFERROR(IF(ISNUMBER(T18),INDEX('1.Locations'!$L$2:$L$16,T18 + 1) + Z17," ")," ")</f>
        <v xml:space="preserve"> </v>
      </c>
      <c r="AA18" s="77" t="str">
        <f>IFERROR(IF(ISNUMBER(T18),INDEX('1.Locations'!$J$2:$J$16,T18 + 1)," ")," ")</f>
        <v xml:space="preserve"> </v>
      </c>
      <c r="AB18" s="77" t="str">
        <f>IFERROR(IF(ISNUMBER(T18),INDEX('1.Locations'!$K$2:$K$16,T18 + 1)," ")," ")</f>
        <v xml:space="preserve"> </v>
      </c>
      <c r="AC18" s="77" t="str">
        <f>IFERROR(IF(ISNUMBER(T18),IF(S18 = S5, 0, AA18 + AC17)," ")," ")</f>
        <v xml:space="preserve"> </v>
      </c>
      <c r="AD18" s="77" t="str">
        <f>IFERROR(IF(ISNUMBER(T18),IF(S19 = S5, 0, IF(S19 = "", 0, AD19 + AB19))," ")," ")</f>
        <v xml:space="preserve"> </v>
      </c>
      <c r="AE18" s="76" t="str">
        <f t="shared" si="1"/>
        <v xml:space="preserve"> </v>
      </c>
      <c r="AI18" s="27">
        <v>13</v>
      </c>
      <c r="AJ18" s="75"/>
      <c r="AK18" s="76" t="str">
        <f>IFERROR(MATCH(AJ18,'1.Locations'!$B$2:$B$16, 0) - 1," ")</f>
        <v xml:space="preserve"> </v>
      </c>
      <c r="AL18" s="77" t="str">
        <f>IFERROR(IF(ISNUMBER(AK18),INDEX('2.Distances'!$C$2:$C$226,AK17*15+AK18 + 2) +AL17," ")," ")</f>
        <v xml:space="preserve"> </v>
      </c>
      <c r="AM18" s="78" t="str">
        <f>IFERROR(IF(ISNUMBER(AK18),'3.Vehicles'!$F$2 * INDEX('2.Distances'!$D$2:$D$226,AK17*15+AK18 + 2) +AM17," ")," ")</f>
        <v xml:space="preserve"> </v>
      </c>
      <c r="AN18" s="79" t="str">
        <f>IFERROR(IF(ISNUMBER(AK18),'3.Vehicles'!$F$2 * INDEX('2.Distances'!$D$2:$D$226,AK17*15+AK18 + 2) +AO17," ")," ")</f>
        <v xml:space="preserve"> </v>
      </c>
      <c r="AO18" s="79" t="str">
        <f>IFERROR(IF(AND(AK5&lt;&gt;AK18,ISNUMBER(AN18)),INDEX('1.Locations'!$I$2:$I$16,AK18 + 1) + MAX(AN18,INDEX('1.Locations'!$F$2:$F$16,AK18 + 1))," ")," ")</f>
        <v xml:space="preserve"> </v>
      </c>
      <c r="AP18" s="78" t="str">
        <f>IFERROR(IF(AND(AJ18 = AJ5, AJ19 = ""), AN18 - AO5, AO18 - AO5)," ")</f>
        <v xml:space="preserve"> </v>
      </c>
      <c r="AQ18" s="76" t="str">
        <f>IFERROR(IF(ISNUMBER(AK18),INDEX('1.Locations'!$L$2:$L$16,AK18 + 1) + AQ17," ")," ")</f>
        <v xml:space="preserve"> </v>
      </c>
      <c r="AR18" s="77" t="str">
        <f>IFERROR(IF(ISNUMBER(AK18),INDEX('1.Locations'!$J$2:$J$16,AK18 + 1)," ")," ")</f>
        <v xml:space="preserve"> </v>
      </c>
      <c r="AS18" s="77" t="str">
        <f>IFERROR(IF(ISNUMBER(AK18),INDEX('1.Locations'!$K$2:$K$16,AK18 + 1)," ")," ")</f>
        <v xml:space="preserve"> </v>
      </c>
      <c r="AT18" s="77" t="str">
        <f>IFERROR(IF(ISNUMBER(AK18),IF(AJ18 = AJ5, 0, AR18 + AT17)," ")," ")</f>
        <v xml:space="preserve"> </v>
      </c>
      <c r="AU18" s="77" t="str">
        <f>IFERROR(IF(ISNUMBER(AK18),IF(AJ19 = AJ5, 0, IF(AJ19 = "", 0, AU19 + AS19))," ")," ")</f>
        <v xml:space="preserve"> </v>
      </c>
      <c r="AV18" s="76" t="str">
        <f t="shared" si="2"/>
        <v xml:space="preserve"> </v>
      </c>
    </row>
    <row r="19" spans="1:48" x14ac:dyDescent="0.2">
      <c r="A19" s="27">
        <v>14</v>
      </c>
      <c r="B19" s="80" t="s">
        <v>4269</v>
      </c>
      <c r="C19" s="76">
        <f>IFERROR(MATCH(B19,'1.Locations'!$B$2:$B$16, 0) - 1," ")</f>
        <v>3</v>
      </c>
      <c r="D19" s="77">
        <f>IFERROR(IF(ISNUMBER(C19),INDEX('2.Distances'!$C$2:$C$226,C18*15+C19 + 2) +D18," ")," ")</f>
        <v>20.776</v>
      </c>
      <c r="E19" s="78">
        <f>IFERROR(IF(ISNUMBER(C19),'3.Vehicles'!$F$2 * INDEX('2.Distances'!$D$2:$D$226,C18*15+C19 + 2) +E18," ")," ")</f>
        <v>2.6388888888888885E-2</v>
      </c>
      <c r="F19" s="79">
        <f>IFERROR(IF(ISNUMBER(C19),'3.Vehicles'!$F$2 * INDEX('2.Distances'!$D$2:$D$226,C18*15+C19 + 2) +G18," ")," ")</f>
        <v>0.35972222222222211</v>
      </c>
      <c r="G19" s="79">
        <f>IFERROR(IF(AND(C5&lt;&gt;C19,ISNUMBER(F19)),INDEX('1.Locations'!$I$2:$I$16,C19 + 1) + MAX(F19,INDEX('1.Locations'!$F$2:$F$16,C19 + 1))," ")," ")</f>
        <v>0.35972222222222211</v>
      </c>
      <c r="H19" s="78">
        <f>IFERROR(IF(AND(B19 = B5, B20 = ""), F19 - G5, G19 - G5)," ")</f>
        <v>2.6388888888888795E-2</v>
      </c>
      <c r="I19" s="76">
        <f>IFERROR(IF(ISNUMBER(C19),INDEX('1.Locations'!$L$2:$L$16,C19 + 1) + I18," ")," ")</f>
        <v>0</v>
      </c>
      <c r="J19" s="77">
        <f>IFERROR(IF(ISNUMBER(C19),INDEX('1.Locations'!$J$2:$J$16,C19 + 1)," ")," ")</f>
        <v>0</v>
      </c>
      <c r="K19" s="77">
        <f>IFERROR(IF(ISNUMBER(C19),INDEX('1.Locations'!$K$2:$K$16,C19 + 1)," ")," ")</f>
        <v>0</v>
      </c>
      <c r="L19" s="77">
        <f>IFERROR(IF(ISNUMBER(C19),IF(B19 = B5, 0, J19 + L18)," ")," ")</f>
        <v>0</v>
      </c>
      <c r="M19" s="77">
        <f>IFERROR(IF(ISNUMBER(C19),IF(B20 = B5, 0, IF(B20 = "", 0, M20 + K20))," ")," ")</f>
        <v>0</v>
      </c>
      <c r="N19" s="76">
        <f t="shared" si="0"/>
        <v>0</v>
      </c>
      <c r="R19" s="27">
        <v>14</v>
      </c>
      <c r="S19" s="80"/>
      <c r="T19" s="76" t="str">
        <f>IFERROR(MATCH(S19,'1.Locations'!$B$2:$B$16, 0) - 1," ")</f>
        <v xml:space="preserve"> </v>
      </c>
      <c r="U19" s="77" t="str">
        <f>IFERROR(IF(ISNUMBER(T19),INDEX('2.Distances'!$C$2:$C$226,T18*15+T19 + 2) +U18," ")," ")</f>
        <v xml:space="preserve"> </v>
      </c>
      <c r="V19" s="78" t="str">
        <f>IFERROR(IF(ISNUMBER(T19),'3.Vehicles'!$F$2 * INDEX('2.Distances'!$D$2:$D$226,T18*15+T19 + 2) +V18," ")," ")</f>
        <v xml:space="preserve"> </v>
      </c>
      <c r="W19" s="79" t="str">
        <f>IFERROR(IF(ISNUMBER(T19),'3.Vehicles'!$F$2 * INDEX('2.Distances'!$D$2:$D$226,T18*15+T19 + 2) +X18," ")," ")</f>
        <v xml:space="preserve"> </v>
      </c>
      <c r="X19" s="79" t="str">
        <f>IFERROR(IF(AND(T5&lt;&gt;T19,ISNUMBER(W19)),INDEX('1.Locations'!$I$2:$I$16,T19 + 1) + MAX(W19,INDEX('1.Locations'!$F$2:$F$16,T19 + 1))," ")," ")</f>
        <v xml:space="preserve"> </v>
      </c>
      <c r="Y19" s="78" t="str">
        <f>IFERROR(IF(AND(S19 = S5, S20 = ""), W19 - X5, X19 - X5)," ")</f>
        <v xml:space="preserve"> </v>
      </c>
      <c r="Z19" s="76" t="str">
        <f>IFERROR(IF(ISNUMBER(T19),INDEX('1.Locations'!$L$2:$L$16,T19 + 1) + Z18," ")," ")</f>
        <v xml:space="preserve"> </v>
      </c>
      <c r="AA19" s="77" t="str">
        <f>IFERROR(IF(ISNUMBER(T19),INDEX('1.Locations'!$J$2:$J$16,T19 + 1)," ")," ")</f>
        <v xml:space="preserve"> </v>
      </c>
      <c r="AB19" s="77" t="str">
        <f>IFERROR(IF(ISNUMBER(T19),INDEX('1.Locations'!$K$2:$K$16,T19 + 1)," ")," ")</f>
        <v xml:space="preserve"> </v>
      </c>
      <c r="AC19" s="77" t="str">
        <f>IFERROR(IF(ISNUMBER(T19),IF(S19 = S5, 0, AA19 + AC18)," ")," ")</f>
        <v xml:space="preserve"> </v>
      </c>
      <c r="AD19" s="77" t="str">
        <f>IFERROR(IF(ISNUMBER(T19),IF(S20 = S5, 0, IF(S20 = "", 0, AD20 + AB20))," ")," ")</f>
        <v xml:space="preserve"> </v>
      </c>
      <c r="AE19" s="76" t="str">
        <f t="shared" si="1"/>
        <v xml:space="preserve"> </v>
      </c>
      <c r="AI19" s="27">
        <v>14</v>
      </c>
      <c r="AJ19" s="80"/>
      <c r="AK19" s="76" t="str">
        <f>IFERROR(MATCH(AJ19,'1.Locations'!$B$2:$B$16, 0) - 1," ")</f>
        <v xml:space="preserve"> </v>
      </c>
      <c r="AL19" s="77" t="str">
        <f>IFERROR(IF(ISNUMBER(AK19),INDEX('2.Distances'!$C$2:$C$226,AK18*15+AK19 + 2) +AL18," ")," ")</f>
        <v xml:space="preserve"> </v>
      </c>
      <c r="AM19" s="78" t="str">
        <f>IFERROR(IF(ISNUMBER(AK19),'3.Vehicles'!$F$2 * INDEX('2.Distances'!$D$2:$D$226,AK18*15+AK19 + 2) +AM18," ")," ")</f>
        <v xml:space="preserve"> </v>
      </c>
      <c r="AN19" s="79" t="str">
        <f>IFERROR(IF(ISNUMBER(AK19),'3.Vehicles'!$F$2 * INDEX('2.Distances'!$D$2:$D$226,AK18*15+AK19 + 2) +AO18," ")," ")</f>
        <v xml:space="preserve"> </v>
      </c>
      <c r="AO19" s="79" t="str">
        <f>IFERROR(IF(AND(AK5&lt;&gt;AK19,ISNUMBER(AN19)),INDEX('1.Locations'!$I$2:$I$16,AK19 + 1) + MAX(AN19,INDEX('1.Locations'!$F$2:$F$16,AK19 + 1))," ")," ")</f>
        <v xml:space="preserve"> </v>
      </c>
      <c r="AP19" s="78" t="str">
        <f>IFERROR(IF(AND(AJ19 = AJ5, AJ20 = ""), AN19 - AO5, AO19 - AO5)," ")</f>
        <v xml:space="preserve"> </v>
      </c>
      <c r="AQ19" s="76" t="str">
        <f>IFERROR(IF(ISNUMBER(AK19),INDEX('1.Locations'!$L$2:$L$16,AK19 + 1) + AQ18," ")," ")</f>
        <v xml:space="preserve"> </v>
      </c>
      <c r="AR19" s="77" t="str">
        <f>IFERROR(IF(ISNUMBER(AK19),INDEX('1.Locations'!$J$2:$J$16,AK19 + 1)," ")," ")</f>
        <v xml:space="preserve"> </v>
      </c>
      <c r="AS19" s="77" t="str">
        <f>IFERROR(IF(ISNUMBER(AK19),INDEX('1.Locations'!$K$2:$K$16,AK19 + 1)," ")," ")</f>
        <v xml:space="preserve"> </v>
      </c>
      <c r="AT19" s="77" t="str">
        <f>IFERROR(IF(ISNUMBER(AK19),IF(AJ19 = AJ5, 0, AR19 + AT18)," ")," ")</f>
        <v xml:space="preserve"> </v>
      </c>
      <c r="AU19" s="77" t="str">
        <f>IFERROR(IF(ISNUMBER(AK19),IF(AJ20 = AJ5, 0, IF(AJ20 = "", 0, AU20 + AS20))," ")," ")</f>
        <v xml:space="preserve"> </v>
      </c>
      <c r="AV19" s="76" t="str">
        <f t="shared" si="2"/>
        <v xml:space="preserve"> </v>
      </c>
    </row>
    <row r="20" spans="1:48" x14ac:dyDescent="0.2">
      <c r="A20" s="25">
        <v>15</v>
      </c>
      <c r="B20" s="74" t="s">
        <v>527</v>
      </c>
      <c r="C20" s="70">
        <f>IFERROR(MATCH(B20,'1.Locations'!$B$2:$B$16, 0) - 1," ")</f>
        <v>0</v>
      </c>
      <c r="D20" s="71">
        <f>IFERROR(IF(ISNUMBER(C20),INDEX('2.Distances'!$C$2:$C$226,C19*15+C20 + 2) +D19," ")," ")</f>
        <v>22.907</v>
      </c>
      <c r="E20" s="72">
        <f>IFERROR(IF(ISNUMBER(C20),'3.Vehicles'!$F$2 * INDEX('2.Distances'!$D$2:$D$226,C19*15+C20 + 2) +E19," ")," ")</f>
        <v>3.0555555555555551E-2</v>
      </c>
      <c r="F20" s="73">
        <f>IFERROR(IF(ISNUMBER(C20),'3.Vehicles'!$F$2 * INDEX('2.Distances'!$D$2:$D$226,C19*15+C20 + 2) +G19," ")," ")</f>
        <v>0.36388888888888876</v>
      </c>
      <c r="G20" s="73" t="str">
        <f>IFERROR(IF(AND(C5&lt;&gt;C20,ISNUMBER(F20)),INDEX('1.Locations'!$I$2:$I$16,C20 + 1) + MAX(F20,INDEX('1.Locations'!$F$2:$F$16,C20 + 1))," ")," ")</f>
        <v xml:space="preserve"> </v>
      </c>
      <c r="H20" s="72">
        <f>IFERROR(IF(AND(B20 = B5, B21 = ""), F20 - G5, G20 - G5)," ")</f>
        <v>3.0555555555555447E-2</v>
      </c>
      <c r="I20" s="70">
        <f>IFERROR(IF(ISNUMBER(C20),INDEX('1.Locations'!$L$2:$L$16,C20 + 1) + I19," ")," ")</f>
        <v>0</v>
      </c>
      <c r="J20" s="71">
        <f>IFERROR(IF(ISNUMBER(C20),INDEX('1.Locations'!$J$2:$J$16,C20 + 1)," ")," ")</f>
        <v>0</v>
      </c>
      <c r="K20" s="71">
        <f>IFERROR(IF(ISNUMBER(C20),INDEX('1.Locations'!$K$2:$K$16,C20 + 1)," ")," ")</f>
        <v>0</v>
      </c>
      <c r="L20" s="71">
        <f>IFERROR(IF(ISNUMBER(C20),IF(B20 = B5, 0, J20 + L19)," ")," ")</f>
        <v>0</v>
      </c>
      <c r="M20" s="71">
        <f>IFERROR(IF(ISNUMBER(C20),IF(B21 = B5, 0, IF(B21 = "", 0, M21 + K21))," ")," ")</f>
        <v>0</v>
      </c>
      <c r="N20" s="70">
        <f t="shared" si="0"/>
        <v>0</v>
      </c>
      <c r="R20" s="25">
        <v>15</v>
      </c>
      <c r="S20" s="74"/>
      <c r="T20" s="70" t="str">
        <f>IFERROR(MATCH(S20,'1.Locations'!$B$2:$B$16, 0) - 1," ")</f>
        <v xml:space="preserve"> </v>
      </c>
      <c r="U20" s="71" t="str">
        <f>IFERROR(IF(ISNUMBER(T20),INDEX('2.Distances'!$C$2:$C$226,T19*15+T20 + 2) +U19," ")," ")</f>
        <v xml:space="preserve"> </v>
      </c>
      <c r="V20" s="72" t="str">
        <f>IFERROR(IF(ISNUMBER(T20),'3.Vehicles'!$F$2 * INDEX('2.Distances'!$D$2:$D$226,T19*15+T20 + 2) +V19," ")," ")</f>
        <v xml:space="preserve"> </v>
      </c>
      <c r="W20" s="73" t="str">
        <f>IFERROR(IF(ISNUMBER(T20),'3.Vehicles'!$F$2 * INDEX('2.Distances'!$D$2:$D$226,T19*15+T20 + 2) +X19," ")," ")</f>
        <v xml:space="preserve"> </v>
      </c>
      <c r="X20" s="73" t="str">
        <f>IFERROR(IF(AND(T5&lt;&gt;T20,ISNUMBER(W20)),INDEX('1.Locations'!$I$2:$I$16,T20 + 1) + MAX(W20,INDEX('1.Locations'!$F$2:$F$16,T20 + 1))," ")," ")</f>
        <v xml:space="preserve"> </v>
      </c>
      <c r="Y20" s="72" t="str">
        <f>IFERROR(IF(AND(S20 = S5, S21 = ""), W20 - X5, X20 - X5)," ")</f>
        <v xml:space="preserve"> </v>
      </c>
      <c r="Z20" s="70" t="str">
        <f>IFERROR(IF(ISNUMBER(T20),INDEX('1.Locations'!$L$2:$L$16,T20 + 1) + Z19," ")," ")</f>
        <v xml:space="preserve"> </v>
      </c>
      <c r="AA20" s="71" t="str">
        <f>IFERROR(IF(ISNUMBER(T20),INDEX('1.Locations'!$J$2:$J$16,T20 + 1)," ")," ")</f>
        <v xml:space="preserve"> </v>
      </c>
      <c r="AB20" s="71" t="str">
        <f>IFERROR(IF(ISNUMBER(T20),INDEX('1.Locations'!$K$2:$K$16,T20 + 1)," ")," ")</f>
        <v xml:space="preserve"> </v>
      </c>
      <c r="AC20" s="71" t="str">
        <f>IFERROR(IF(ISNUMBER(T20),IF(S20 = S5, 0, AA20 + AC19)," ")," ")</f>
        <v xml:space="preserve"> </v>
      </c>
      <c r="AD20" s="71" t="str">
        <f>IFERROR(IF(ISNUMBER(T20),IF(S21 = S5, 0, IF(S21 = "", 0, AD21 + AB21))," ")," ")</f>
        <v xml:space="preserve"> </v>
      </c>
      <c r="AE20" s="70" t="str">
        <f t="shared" si="1"/>
        <v xml:space="preserve"> </v>
      </c>
      <c r="AI20" s="25">
        <v>15</v>
      </c>
      <c r="AJ20" s="74"/>
      <c r="AK20" s="70" t="str">
        <f>IFERROR(MATCH(AJ20,'1.Locations'!$B$2:$B$16, 0) - 1," ")</f>
        <v xml:space="preserve"> </v>
      </c>
      <c r="AL20" s="71" t="str">
        <f>IFERROR(IF(ISNUMBER(AK20),INDEX('2.Distances'!$C$2:$C$226,AK19*15+AK20 + 2) +AL19," ")," ")</f>
        <v xml:space="preserve"> </v>
      </c>
      <c r="AM20" s="72" t="str">
        <f>IFERROR(IF(ISNUMBER(AK20),'3.Vehicles'!$F$2 * INDEX('2.Distances'!$D$2:$D$226,AK19*15+AK20 + 2) +AM19," ")," ")</f>
        <v xml:space="preserve"> </v>
      </c>
      <c r="AN20" s="73" t="str">
        <f>IFERROR(IF(ISNUMBER(AK20),'3.Vehicles'!$F$2 * INDEX('2.Distances'!$D$2:$D$226,AK19*15+AK20 + 2) +AO19," ")," ")</f>
        <v xml:space="preserve"> </v>
      </c>
      <c r="AO20" s="73" t="str">
        <f>IFERROR(IF(AND(AK5&lt;&gt;AK20,ISNUMBER(AN20)),INDEX('1.Locations'!$I$2:$I$16,AK20 + 1) + MAX(AN20,INDEX('1.Locations'!$F$2:$F$16,AK20 + 1))," ")," ")</f>
        <v xml:space="preserve"> </v>
      </c>
      <c r="AP20" s="72" t="str">
        <f>IFERROR(IF(AND(AJ20 = AJ5, AJ21 = ""), AN20 - AO5, AO20 - AO5)," ")</f>
        <v xml:space="preserve"> </v>
      </c>
      <c r="AQ20" s="70" t="str">
        <f>IFERROR(IF(ISNUMBER(AK20),INDEX('1.Locations'!$L$2:$L$16,AK20 + 1) + AQ19," ")," ")</f>
        <v xml:space="preserve"> </v>
      </c>
      <c r="AR20" s="71" t="str">
        <f>IFERROR(IF(ISNUMBER(AK20),INDEX('1.Locations'!$J$2:$J$16,AK20 + 1)," ")," ")</f>
        <v xml:space="preserve"> </v>
      </c>
      <c r="AS20" s="71" t="str">
        <f>IFERROR(IF(ISNUMBER(AK20),INDEX('1.Locations'!$K$2:$K$16,AK20 + 1)," ")," ")</f>
        <v xml:space="preserve"> </v>
      </c>
      <c r="AT20" s="71" t="str">
        <f>IFERROR(IF(ISNUMBER(AK20),IF(AJ20 = AJ5, 0, AR20 + AT19)," ")," ")</f>
        <v xml:space="preserve"> </v>
      </c>
      <c r="AU20" s="71" t="str">
        <f>IFERROR(IF(ISNUMBER(AK20),IF(AJ21 = AJ5, 0, IF(AJ21 = "", 0, AU21 + AS21))," ")," ")</f>
        <v xml:space="preserve"> </v>
      </c>
      <c r="AV20" s="70" t="str">
        <f t="shared" si="2"/>
        <v xml:space="preserve"> </v>
      </c>
    </row>
    <row r="22" spans="1:48" x14ac:dyDescent="0.2">
      <c r="A22" s="19" t="s">
        <v>529</v>
      </c>
    </row>
  </sheetData>
  <conditionalFormatting sqref="F6:F20">
    <cfRule type="cellIs" priority="166" stopIfTrue="1" operator="equal">
      <formula>" "</formula>
    </cfRule>
  </conditionalFormatting>
  <conditionalFormatting sqref="N5:N20">
    <cfRule type="cellIs" dxfId="165" priority="117" stopIfTrue="1" operator="equal">
      <formula>" "</formula>
    </cfRule>
    <cfRule type="cellIs" dxfId="164" priority="169" stopIfTrue="1" operator="lessThan">
      <formula>0</formula>
    </cfRule>
  </conditionalFormatting>
  <conditionalFormatting sqref="E6:E20">
    <cfRule type="cellIs" dxfId="163" priority="116" stopIfTrue="1" operator="equal">
      <formula>" "</formula>
    </cfRule>
  </conditionalFormatting>
  <conditionalFormatting sqref="H6:H20">
    <cfRule type="cellIs" dxfId="162" priority="115" stopIfTrue="1" operator="equal">
      <formula>" "</formula>
    </cfRule>
  </conditionalFormatting>
  <conditionalFormatting sqref="G3">
    <cfRule type="expression" dxfId="161" priority="172" stopIfTrue="1">
      <formula>ISERROR(I3)</formula>
    </cfRule>
  </conditionalFormatting>
  <conditionalFormatting sqref="W6:W20">
    <cfRule type="cellIs" priority="108" stopIfTrue="1" operator="equal">
      <formula>" "</formula>
    </cfRule>
  </conditionalFormatting>
  <conditionalFormatting sqref="AE5:AE20">
    <cfRule type="cellIs" dxfId="160" priority="60" stopIfTrue="1" operator="equal">
      <formula>" "</formula>
    </cfRule>
    <cfRule type="cellIs" dxfId="159" priority="111" stopIfTrue="1" operator="lessThan">
      <formula>0</formula>
    </cfRule>
  </conditionalFormatting>
  <conditionalFormatting sqref="V6:V20">
    <cfRule type="cellIs" dxfId="158" priority="59" stopIfTrue="1" operator="equal">
      <formula>" "</formula>
    </cfRule>
  </conditionalFormatting>
  <conditionalFormatting sqref="Y6:Y20">
    <cfRule type="cellIs" dxfId="157" priority="58" stopIfTrue="1" operator="equal">
      <formula>" "</formula>
    </cfRule>
  </conditionalFormatting>
  <conditionalFormatting sqref="X3">
    <cfRule type="expression" dxfId="156" priority="114" stopIfTrue="1">
      <formula>ISERROR(Z3)</formula>
    </cfRule>
  </conditionalFormatting>
  <conditionalFormatting sqref="AN6:AN20">
    <cfRule type="cellIs" priority="51" stopIfTrue="1" operator="equal">
      <formula>" "</formula>
    </cfRule>
  </conditionalFormatting>
  <conditionalFormatting sqref="AV5:AV20">
    <cfRule type="cellIs" dxfId="155" priority="3" stopIfTrue="1" operator="equal">
      <formula>" "</formula>
    </cfRule>
    <cfRule type="cellIs" dxfId="154" priority="54" stopIfTrue="1" operator="lessThan">
      <formula>0</formula>
    </cfRule>
  </conditionalFormatting>
  <conditionalFormatting sqref="AM6:AM20">
    <cfRule type="cellIs" dxfId="153" priority="2" stopIfTrue="1" operator="equal">
      <formula>" "</formula>
    </cfRule>
  </conditionalFormatting>
  <conditionalFormatting sqref="AP6:AP20">
    <cfRule type="cellIs" dxfId="152" priority="1" stopIfTrue="1" operator="equal">
      <formula>" "</formula>
    </cfRule>
  </conditionalFormatting>
  <conditionalFormatting sqref="AO3">
    <cfRule type="expression" dxfId="151" priority="57" stopIfTrue="1">
      <formula>ISERROR(AQ3)</formula>
    </cfRule>
  </conditionalFormatting>
  <conditionalFormatting sqref="B1">
    <cfRule type="expression" dxfId="150" priority="173" stopIfTrue="1">
      <formula>ISERROR(B1)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19" stopIfTrue="1" id="{397DFEB9-867E-F346-A077-DD2C17F091A0}">
            <xm:f>(60 * HOUR(F5) + MINUTE(F5)) &gt;(60 * HOUR(INDEX('1.Locations'!$G$2:$G$16,C5 + 1)) +MINUTE(INDEX('1.Locations'!$G$2:$G$16,C5 + 1)))</xm:f>
            <x14:dxf>
              <fill>
                <patternFill>
                  <bgColor indexed="10"/>
                </patternFill>
              </fill>
            </x14:dxf>
          </x14:cfRule>
          <xm:sqref>F5</xm:sqref>
        </x14:conditionalFormatting>
        <x14:conditionalFormatting xmlns:xm="http://schemas.microsoft.com/office/excel/2006/main">
          <x14:cfRule type="expression" priority="120" stopIfTrue="1" id="{857918E0-3717-6F4A-B0F3-96F8E88E2F87}">
            <xm:f>(60 * HOUR(G5) + MINUTE(G5)) &gt;(60 * HOUR(INDEX('1.Locations'!$G$2:$G$16,C5 + 1)) +MINUTE(INDEX('1.Locations'!$G$2:$G$16,C5 + 1)))</xm:f>
            <x14:dxf>
              <fill>
                <patternFill>
                  <bgColor indexed="10"/>
                </patternFill>
              </fill>
            </x14:dxf>
          </x14:cfRule>
          <xm:sqref>G5</xm:sqref>
        </x14:conditionalFormatting>
        <x14:conditionalFormatting xmlns:xm="http://schemas.microsoft.com/office/excel/2006/main">
          <x14:cfRule type="cellIs" priority="118" stopIfTrue="1" operator="lessThan" id="{378562A1-61B0-C546-80B3-E0098AD06952}">
            <xm:f>INDEX('1.Locations'!$F$2:$F$16,C6 + 1)</xm:f>
            <x14:dxf>
              <fill>
                <patternFill patternType="solid">
                  <bgColor indexed="43"/>
                </patternFill>
              </fill>
            </x14:dxf>
          </x14:cfRule>
          <x14:cfRule type="expression" priority="122" stopIfTrue="1" id="{B7B6F941-15C7-2C45-8765-EBB4D76FF71A}">
            <xm:f>(60 * HOUR(F6) + MINUTE(F6)) &gt;(60 * HOUR(INDEX('1.Locations'!$G$2:$G$16,C6 + 1)) +MINUTE(INDEX('1.Locations'!$G$2:$G$16,C6 + 1)))</xm:f>
            <x14:dxf>
              <fill>
                <patternFill>
                  <bgColor indexed="10"/>
                </patternFill>
              </fill>
            </x14:dxf>
          </x14:cfRule>
          <xm:sqref>F6</xm:sqref>
        </x14:conditionalFormatting>
        <x14:conditionalFormatting xmlns:xm="http://schemas.microsoft.com/office/excel/2006/main">
          <x14:cfRule type="expression" priority="123" stopIfTrue="1" id="{67A03BF0-F9B3-2842-92BB-9E57E956C978}">
            <xm:f>(60 * HOUR(G6) + MINUTE(G6)) &gt;(60 * HOUR(INDEX('1.Locations'!$G$2:$G$16,C6 + 1)) +MINUTE(INDEX('1.Locations'!$G$2:$G$16,C6 + 1)))</xm:f>
            <x14:dxf>
              <fill>
                <patternFill>
                  <bgColor indexed="10"/>
                </patternFill>
              </fill>
            </x14:dxf>
          </x14:cfRule>
          <xm:sqref>G6</xm:sqref>
        </x14:conditionalFormatting>
        <x14:conditionalFormatting xmlns:xm="http://schemas.microsoft.com/office/excel/2006/main">
          <x14:cfRule type="cellIs" priority="124" stopIfTrue="1" operator="lessThan" id="{9C0C32D8-99F3-3D43-80B6-EFCA76095438}">
            <xm:f>INDEX('1.Locations'!$F$2:$F$16,C7 + 1)</xm:f>
            <x14:dxf>
              <fill>
                <patternFill>
                  <bgColor indexed="52"/>
                </patternFill>
              </fill>
            </x14:dxf>
          </x14:cfRule>
          <x14:cfRule type="expression" priority="125" stopIfTrue="1" id="{0CE65AC0-FFD6-A048-8FFC-486FE9A3F4F9}">
            <xm:f>(60 * HOUR(F7) + MINUTE(F7)) &gt;(60 * HOUR(INDEX('1.Locations'!$G$2:$G$16,C7 + 1)) +MINUTE(INDEX('1.Locations'!$G$2:$G$16,C7 + 1)))</xm:f>
            <x14:dxf>
              <fill>
                <patternFill>
                  <bgColor indexed="10"/>
                </patternFill>
              </fill>
            </x14:dxf>
          </x14:cfRule>
          <xm:sqref>F7</xm:sqref>
        </x14:conditionalFormatting>
        <x14:conditionalFormatting xmlns:xm="http://schemas.microsoft.com/office/excel/2006/main">
          <x14:cfRule type="expression" priority="126" stopIfTrue="1" id="{84E70D4A-EAAC-E241-A96B-11B9CED76375}">
            <xm:f>(60 * HOUR(G7) + MINUTE(G7)) &gt;(60 * HOUR(INDEX('1.Locations'!$G$2:$G$16,C7 + 1)) +MINUTE(INDEX('1.Locations'!$G$2:$G$16,C7 + 1)))</xm:f>
            <x14:dxf>
              <fill>
                <patternFill>
                  <bgColor indexed="10"/>
                </patternFill>
              </fill>
            </x14:dxf>
          </x14:cfRule>
          <xm:sqref>G7</xm:sqref>
        </x14:conditionalFormatting>
        <x14:conditionalFormatting xmlns:xm="http://schemas.microsoft.com/office/excel/2006/main">
          <x14:cfRule type="cellIs" priority="127" stopIfTrue="1" operator="lessThan" id="{95055ABB-D6C3-354D-A587-6B1715B13504}">
            <xm:f>INDEX('1.Locations'!$F$2:$F$16,C8 + 1)</xm:f>
            <x14:dxf>
              <fill>
                <patternFill>
                  <bgColor indexed="52"/>
                </patternFill>
              </fill>
            </x14:dxf>
          </x14:cfRule>
          <x14:cfRule type="expression" priority="128" stopIfTrue="1" id="{3229BFF5-5093-2B40-AFF0-8D11828C5A17}">
            <xm:f>(60 * HOUR(F8) + MINUTE(F8)) &gt;(60 * HOUR(INDEX('1.Locations'!$G$2:$G$16,C8 + 1)) +MINUTE(INDEX('1.Locations'!$G$2:$G$16,C8 + 1)))</xm:f>
            <x14:dxf>
              <fill>
                <patternFill>
                  <bgColor indexed="10"/>
                </patternFill>
              </fill>
            </x14:dxf>
          </x14:cfRule>
          <xm:sqref>F8</xm:sqref>
        </x14:conditionalFormatting>
        <x14:conditionalFormatting xmlns:xm="http://schemas.microsoft.com/office/excel/2006/main">
          <x14:cfRule type="expression" priority="129" stopIfTrue="1" id="{E60CFEC4-5539-B444-AC82-4B97C532E73A}">
            <xm:f>(60 * HOUR(G8) + MINUTE(G8)) &gt;(60 * HOUR(INDEX('1.Locations'!$G$2:$G$16,C8 + 1)) +MINUTE(INDEX('1.Locations'!$G$2:$G$16,C8 + 1)))</xm:f>
            <x14:dxf>
              <fill>
                <patternFill>
                  <bgColor indexed="10"/>
                </patternFill>
              </fill>
            </x14:dxf>
          </x14:cfRule>
          <xm:sqref>G8</xm:sqref>
        </x14:conditionalFormatting>
        <x14:conditionalFormatting xmlns:xm="http://schemas.microsoft.com/office/excel/2006/main">
          <x14:cfRule type="cellIs" priority="130" stopIfTrue="1" operator="lessThan" id="{0EF179BB-DEAB-3B42-B387-09EA7E16FC82}">
            <xm:f>INDEX('1.Locations'!$F$2:$F$16,C9 + 1)</xm:f>
            <x14:dxf>
              <fill>
                <patternFill>
                  <bgColor indexed="52"/>
                </patternFill>
              </fill>
            </x14:dxf>
          </x14:cfRule>
          <x14:cfRule type="expression" priority="131" stopIfTrue="1" id="{E0C72602-9CF9-D74D-AA4D-97F487B48952}">
            <xm:f>(60 * HOUR(F9) + MINUTE(F9)) &gt;(60 * HOUR(INDEX('1.Locations'!$G$2:$G$16,C9 + 1)) +MINUTE(INDEX('1.Locations'!$G$2:$G$16,C9 + 1)))</xm:f>
            <x14:dxf>
              <fill>
                <patternFill>
                  <bgColor indexed="10"/>
                </patternFill>
              </fill>
            </x14:dxf>
          </x14:cfRule>
          <xm:sqref>F9</xm:sqref>
        </x14:conditionalFormatting>
        <x14:conditionalFormatting xmlns:xm="http://schemas.microsoft.com/office/excel/2006/main">
          <x14:cfRule type="expression" priority="132" stopIfTrue="1" id="{51FC7FE8-4B4E-0640-9EAC-BE26DA310F95}">
            <xm:f>(60 * HOUR(G9) + MINUTE(G9)) &gt;(60 * HOUR(INDEX('1.Locations'!$G$2:$G$16,C9 + 1)) +MINUTE(INDEX('1.Locations'!$G$2:$G$16,C9 + 1)))</xm:f>
            <x14:dxf>
              <fill>
                <patternFill>
                  <bgColor indexed="10"/>
                </patternFill>
              </fill>
            </x14:dxf>
          </x14:cfRule>
          <xm:sqref>G9</xm:sqref>
        </x14:conditionalFormatting>
        <x14:conditionalFormatting xmlns:xm="http://schemas.microsoft.com/office/excel/2006/main">
          <x14:cfRule type="cellIs" priority="133" stopIfTrue="1" operator="lessThan" id="{FAF7B051-58F5-254A-98AC-ECBE60C6445F}">
            <xm:f>INDEX('1.Locations'!$F$2:$F$16,C10 + 1)</xm:f>
            <x14:dxf>
              <fill>
                <patternFill>
                  <bgColor indexed="52"/>
                </patternFill>
              </fill>
            </x14:dxf>
          </x14:cfRule>
          <x14:cfRule type="expression" priority="134" stopIfTrue="1" id="{E39A4DE8-F8AD-3A41-9BF1-64DB945633B1}">
            <xm:f>(60 * HOUR(F10) + MINUTE(F10)) &gt;(60 * HOUR(INDEX('1.Locations'!$G$2:$G$16,C10 + 1)) +MINUTE(INDEX('1.Locations'!$G$2:$G$16,C10 + 1)))</xm:f>
            <x14:dxf>
              <fill>
                <patternFill>
                  <bgColor indexed="10"/>
                </patternFill>
              </fill>
            </x14:dxf>
          </x14:cfRule>
          <xm:sqref>F10</xm:sqref>
        </x14:conditionalFormatting>
        <x14:conditionalFormatting xmlns:xm="http://schemas.microsoft.com/office/excel/2006/main">
          <x14:cfRule type="expression" priority="135" stopIfTrue="1" id="{F38AD885-3EEF-4D41-8678-3FED2C792710}">
            <xm:f>(60 * HOUR(G10) + MINUTE(G10)) &gt;(60 * HOUR(INDEX('1.Locations'!$G$2:$G$16,C10 + 1)) +MINUTE(INDEX('1.Locations'!$G$2:$G$16,C10 + 1)))</xm:f>
            <x14:dxf>
              <fill>
                <patternFill>
                  <bgColor indexed="10"/>
                </patternFill>
              </fill>
            </x14:dxf>
          </x14:cfRule>
          <xm:sqref>G10</xm:sqref>
        </x14:conditionalFormatting>
        <x14:conditionalFormatting xmlns:xm="http://schemas.microsoft.com/office/excel/2006/main">
          <x14:cfRule type="cellIs" priority="136" stopIfTrue="1" operator="lessThan" id="{8D89EC88-F8C0-8741-BC68-FE77CB6AE6EC}">
            <xm:f>INDEX('1.Locations'!$F$2:$F$16,C11 + 1)</xm:f>
            <x14:dxf>
              <fill>
                <patternFill>
                  <bgColor indexed="52"/>
                </patternFill>
              </fill>
            </x14:dxf>
          </x14:cfRule>
          <x14:cfRule type="expression" priority="137" stopIfTrue="1" id="{0D9FBE75-7217-6E4E-947D-3F2E48EAAF83}">
            <xm:f>(60 * HOUR(F11) + MINUTE(F11)) &gt;(60 * HOUR(INDEX('1.Locations'!$G$2:$G$16,C11 + 1)) +MINUTE(INDEX('1.Locations'!$G$2:$G$16,C11 + 1)))</xm:f>
            <x14:dxf>
              <fill>
                <patternFill>
                  <bgColor indexed="10"/>
                </patternFill>
              </fill>
            </x14:dxf>
          </x14:cfRule>
          <xm:sqref>F11</xm:sqref>
        </x14:conditionalFormatting>
        <x14:conditionalFormatting xmlns:xm="http://schemas.microsoft.com/office/excel/2006/main">
          <x14:cfRule type="expression" priority="138" stopIfTrue="1" id="{B21F13CB-9B9A-BC49-B0F2-87F26ED95DF6}">
            <xm:f>(60 * HOUR(G11) + MINUTE(G11)) &gt;(60 * HOUR(INDEX('1.Locations'!$G$2:$G$16,C11 + 1)) +MINUTE(INDEX('1.Locations'!$G$2:$G$16,C11 + 1)))</xm:f>
            <x14:dxf>
              <fill>
                <patternFill>
                  <bgColor indexed="10"/>
                </patternFill>
              </fill>
            </x14:dxf>
          </x14:cfRule>
          <xm:sqref>G11</xm:sqref>
        </x14:conditionalFormatting>
        <x14:conditionalFormatting xmlns:xm="http://schemas.microsoft.com/office/excel/2006/main">
          <x14:cfRule type="cellIs" priority="139" stopIfTrue="1" operator="lessThan" id="{F1B9D0F7-4118-F74C-97F9-67AD98B845C0}">
            <xm:f>INDEX('1.Locations'!$F$2:$F$16,C12 + 1)</xm:f>
            <x14:dxf>
              <fill>
                <patternFill>
                  <bgColor indexed="52"/>
                </patternFill>
              </fill>
            </x14:dxf>
          </x14:cfRule>
          <x14:cfRule type="expression" priority="140" stopIfTrue="1" id="{D4546CAD-1CA7-EA4E-953A-716CAB2E7206}">
            <xm:f>(60 * HOUR(F12) + MINUTE(F12)) &gt;(60 * HOUR(INDEX('1.Locations'!$G$2:$G$16,C12 + 1)) +MINUTE(INDEX('1.Locations'!$G$2:$G$16,C12 + 1)))</xm:f>
            <x14:dxf>
              <fill>
                <patternFill>
                  <bgColor indexed="10"/>
                </patternFill>
              </fill>
            </x14:dxf>
          </x14:cfRule>
          <xm:sqref>F12</xm:sqref>
        </x14:conditionalFormatting>
        <x14:conditionalFormatting xmlns:xm="http://schemas.microsoft.com/office/excel/2006/main">
          <x14:cfRule type="expression" priority="141" stopIfTrue="1" id="{77DDBE3A-256B-0048-8E17-20774A63E520}">
            <xm:f>(60 * HOUR(G12) + MINUTE(G12)) &gt;(60 * HOUR(INDEX('1.Locations'!$G$2:$G$16,C12 + 1)) +MINUTE(INDEX('1.Locations'!$G$2:$G$16,C12 + 1)))</xm:f>
            <x14:dxf>
              <fill>
                <patternFill>
                  <bgColor indexed="10"/>
                </patternFill>
              </fill>
            </x14:dxf>
          </x14:cfRule>
          <xm:sqref>G12</xm:sqref>
        </x14:conditionalFormatting>
        <x14:conditionalFormatting xmlns:xm="http://schemas.microsoft.com/office/excel/2006/main">
          <x14:cfRule type="cellIs" priority="142" stopIfTrue="1" operator="lessThan" id="{3F7067D0-D459-E640-86A8-3905CCD3AB38}">
            <xm:f>INDEX('1.Locations'!$F$2:$F$16,C13 + 1)</xm:f>
            <x14:dxf>
              <fill>
                <patternFill>
                  <bgColor indexed="52"/>
                </patternFill>
              </fill>
            </x14:dxf>
          </x14:cfRule>
          <x14:cfRule type="expression" priority="143" stopIfTrue="1" id="{43342F46-93F7-D643-B170-6B7000A2EE25}">
            <xm:f>(60 * HOUR(F13) + MINUTE(F13)) &gt;(60 * HOUR(INDEX('1.Locations'!$G$2:$G$16,C13 + 1)) +MINUTE(INDEX('1.Locations'!$G$2:$G$16,C13 + 1)))</xm:f>
            <x14:dxf>
              <fill>
                <patternFill>
                  <bgColor indexed="10"/>
                </patternFill>
              </fill>
            </x14:dxf>
          </x14:cfRule>
          <xm:sqref>F13</xm:sqref>
        </x14:conditionalFormatting>
        <x14:conditionalFormatting xmlns:xm="http://schemas.microsoft.com/office/excel/2006/main">
          <x14:cfRule type="expression" priority="144" stopIfTrue="1" id="{F5B5B6EC-9258-A241-B0B2-37D5CBCEBC86}">
            <xm:f>(60 * HOUR(G13) + MINUTE(G13)) &gt;(60 * HOUR(INDEX('1.Locations'!$G$2:$G$16,C13 + 1)) +MINUTE(INDEX('1.Locations'!$G$2:$G$16,C13 + 1)))</xm:f>
            <x14:dxf>
              <fill>
                <patternFill>
                  <bgColor indexed="10"/>
                </patternFill>
              </fill>
            </x14:dxf>
          </x14:cfRule>
          <xm:sqref>G13</xm:sqref>
        </x14:conditionalFormatting>
        <x14:conditionalFormatting xmlns:xm="http://schemas.microsoft.com/office/excel/2006/main">
          <x14:cfRule type="cellIs" priority="145" stopIfTrue="1" operator="lessThan" id="{306AE91E-2AF7-0D40-AB43-AA319A60E8B7}">
            <xm:f>INDEX('1.Locations'!$F$2:$F$16,C14 + 1)</xm:f>
            <x14:dxf>
              <fill>
                <patternFill>
                  <bgColor indexed="52"/>
                </patternFill>
              </fill>
            </x14:dxf>
          </x14:cfRule>
          <x14:cfRule type="expression" priority="146" stopIfTrue="1" id="{37CAFF53-ED6F-2C42-80EA-B864F9B11CD2}">
            <xm:f>(60 * HOUR(F14) + MINUTE(F14)) &gt;(60 * HOUR(INDEX('1.Locations'!$G$2:$G$16,C14 + 1)) +MINUTE(INDEX('1.Locations'!$G$2:$G$16,C14 + 1)))</xm:f>
            <x14:dxf>
              <fill>
                <patternFill>
                  <bgColor indexed="10"/>
                </patternFill>
              </fill>
            </x14:dxf>
          </x14:cfRule>
          <xm:sqref>F14</xm:sqref>
        </x14:conditionalFormatting>
        <x14:conditionalFormatting xmlns:xm="http://schemas.microsoft.com/office/excel/2006/main">
          <x14:cfRule type="expression" priority="147" stopIfTrue="1" id="{612D91F4-CF30-F949-879B-E2CE41AD5129}">
            <xm:f>(60 * HOUR(G14) + MINUTE(G14)) &gt;(60 * HOUR(INDEX('1.Locations'!$G$2:$G$16,C14 + 1)) +MINUTE(INDEX('1.Locations'!$G$2:$G$16,C14 + 1)))</xm:f>
            <x14:dxf>
              <fill>
                <patternFill>
                  <bgColor indexed="10"/>
                </patternFill>
              </fill>
            </x14:dxf>
          </x14:cfRule>
          <xm:sqref>G14</xm:sqref>
        </x14:conditionalFormatting>
        <x14:conditionalFormatting xmlns:xm="http://schemas.microsoft.com/office/excel/2006/main">
          <x14:cfRule type="cellIs" priority="148" stopIfTrue="1" operator="lessThan" id="{604AC800-195D-644D-B8AD-7B637A51E87D}">
            <xm:f>INDEX('1.Locations'!$F$2:$F$16,C15 + 1)</xm:f>
            <x14:dxf>
              <fill>
                <patternFill>
                  <bgColor indexed="52"/>
                </patternFill>
              </fill>
            </x14:dxf>
          </x14:cfRule>
          <xm:sqref>F15</xm:sqref>
        </x14:conditionalFormatting>
        <x14:conditionalFormatting xmlns:xm="http://schemas.microsoft.com/office/excel/2006/main">
          <x14:cfRule type="expression" priority="149" stopIfTrue="1" id="{8DAB34AE-D978-9B4A-85D1-505460D1D2C9}">
            <xm:f>(60 * HOUR(F15) + MINUTE(F15)) &gt;(60 * HOUR(INDEX('1.Locations'!$G$2:$G$16,C15 + 1)) +MINUTE(INDEX('1.Locations'!$G$2:$G$16,C15 + 1)))</xm:f>
            <x14:dxf>
              <fill>
                <patternFill>
                  <bgColor indexed="10"/>
                </patternFill>
              </fill>
            </x14:dxf>
          </x14:cfRule>
          <xm:sqref>F15</xm:sqref>
        </x14:conditionalFormatting>
        <x14:conditionalFormatting xmlns:xm="http://schemas.microsoft.com/office/excel/2006/main">
          <x14:cfRule type="expression" priority="150" stopIfTrue="1" id="{AB2B52E3-1B36-6141-9324-8A015232F6D7}">
            <xm:f>(60 * HOUR(G15) + MINUTE(G15)) &gt;(60 * HOUR(INDEX('1.Locations'!$G$2:$G$16,C15 + 1)) +MINUTE(INDEX('1.Locations'!$G$2:$G$16,C15 + 1)))</xm:f>
            <x14:dxf>
              <fill>
                <patternFill>
                  <bgColor indexed="10"/>
                </patternFill>
              </fill>
            </x14:dxf>
          </x14:cfRule>
          <xm:sqref>G15</xm:sqref>
        </x14:conditionalFormatting>
        <x14:conditionalFormatting xmlns:xm="http://schemas.microsoft.com/office/excel/2006/main">
          <x14:cfRule type="cellIs" priority="151" stopIfTrue="1" operator="lessThan" id="{E4129DE1-DC2A-3545-8C60-111A3F6FE165}">
            <xm:f>INDEX('1.Locations'!$F$2:$F$16,C16 + 1)</xm:f>
            <x14:dxf>
              <fill>
                <patternFill>
                  <bgColor indexed="52"/>
                </patternFill>
              </fill>
            </x14:dxf>
          </x14:cfRule>
          <xm:sqref>F16</xm:sqref>
        </x14:conditionalFormatting>
        <x14:conditionalFormatting xmlns:xm="http://schemas.microsoft.com/office/excel/2006/main">
          <x14:cfRule type="expression" priority="152" stopIfTrue="1" id="{05F6F7AB-CC7B-A541-B5D5-75A671561E95}">
            <xm:f>(60 * HOUR(F16) + MINUTE(F16)) &gt;(60 * HOUR(INDEX('1.Locations'!$G$2:$G$16,C16 + 1)) +MINUTE(INDEX('1.Locations'!$G$2:$G$16,C16 + 1)))</xm:f>
            <x14:dxf>
              <fill>
                <patternFill>
                  <bgColor indexed="10"/>
                </patternFill>
              </fill>
            </x14:dxf>
          </x14:cfRule>
          <xm:sqref>F16</xm:sqref>
        </x14:conditionalFormatting>
        <x14:conditionalFormatting xmlns:xm="http://schemas.microsoft.com/office/excel/2006/main">
          <x14:cfRule type="expression" priority="153" stopIfTrue="1" id="{3F5E4874-1283-A444-87C5-AFD22FE6C911}">
            <xm:f>(60 * HOUR(G16) + MINUTE(G16)) &gt;(60 * HOUR(INDEX('1.Locations'!$G$2:$G$16,C16 + 1)) +MINUTE(INDEX('1.Locations'!$G$2:$G$16,C16 + 1)))</xm:f>
            <x14:dxf>
              <fill>
                <patternFill>
                  <bgColor indexed="10"/>
                </patternFill>
              </fill>
            </x14:dxf>
          </x14:cfRule>
          <xm:sqref>G16</xm:sqref>
        </x14:conditionalFormatting>
        <x14:conditionalFormatting xmlns:xm="http://schemas.microsoft.com/office/excel/2006/main">
          <x14:cfRule type="cellIs" priority="154" stopIfTrue="1" operator="lessThan" id="{EB45AA78-D112-5D47-8FAF-4505070ACCB9}">
            <xm:f>INDEX('1.Locations'!$F$2:$F$16,C17 + 1)</xm:f>
            <x14:dxf>
              <fill>
                <patternFill>
                  <bgColor indexed="52"/>
                </patternFill>
              </fill>
            </x14:dxf>
          </x14:cfRule>
          <xm:sqref>F17</xm:sqref>
        </x14:conditionalFormatting>
        <x14:conditionalFormatting xmlns:xm="http://schemas.microsoft.com/office/excel/2006/main">
          <x14:cfRule type="expression" priority="155" stopIfTrue="1" id="{CCF22461-7B00-CA40-B210-B604A68C3CA2}">
            <xm:f>(60 * HOUR(F17) + MINUTE(F17)) &gt;(60 * HOUR(INDEX('1.Locations'!$G$2:$G$16,C17 + 1)) +MINUTE(INDEX('1.Locations'!$G$2:$G$16,C17 + 1)))</xm:f>
            <x14:dxf>
              <fill>
                <patternFill>
                  <bgColor indexed="10"/>
                </patternFill>
              </fill>
            </x14:dxf>
          </x14:cfRule>
          <xm:sqref>F17</xm:sqref>
        </x14:conditionalFormatting>
        <x14:conditionalFormatting xmlns:xm="http://schemas.microsoft.com/office/excel/2006/main">
          <x14:cfRule type="expression" priority="156" stopIfTrue="1" id="{064FA356-4530-3C47-8E34-A8702A6FB704}">
            <xm:f>(60 * HOUR(G17) + MINUTE(G17)) &gt;(60 * HOUR(INDEX('1.Locations'!$G$2:$G$16,C17 + 1)) +MINUTE(INDEX('1.Locations'!$G$2:$G$16,C17 + 1)))</xm:f>
            <x14:dxf>
              <fill>
                <patternFill>
                  <bgColor indexed="10"/>
                </patternFill>
              </fill>
            </x14:dxf>
          </x14:cfRule>
          <xm:sqref>G17</xm:sqref>
        </x14:conditionalFormatting>
        <x14:conditionalFormatting xmlns:xm="http://schemas.microsoft.com/office/excel/2006/main">
          <x14:cfRule type="cellIs" priority="157" stopIfTrue="1" operator="lessThan" id="{67EE2344-1B51-3743-AB8E-BD07FD8C90E9}">
            <xm:f>INDEX('1.Locations'!$F$2:$F$16,C18 + 1)</xm:f>
            <x14:dxf>
              <fill>
                <patternFill>
                  <bgColor indexed="52"/>
                </patternFill>
              </fill>
            </x14:dxf>
          </x14:cfRule>
          <xm:sqref>F18</xm:sqref>
        </x14:conditionalFormatting>
        <x14:conditionalFormatting xmlns:xm="http://schemas.microsoft.com/office/excel/2006/main">
          <x14:cfRule type="expression" priority="158" stopIfTrue="1" id="{0C65EEA1-330F-F846-8355-73B6CB55587D}">
            <xm:f>(60 * HOUR(F18) + MINUTE(F18)) &gt;(60 * HOUR(INDEX('1.Locations'!$G$2:$G$16,C18 + 1)) +MINUTE(INDEX('1.Locations'!$G$2:$G$16,C18 + 1)))</xm:f>
            <x14:dxf>
              <fill>
                <patternFill>
                  <bgColor indexed="10"/>
                </patternFill>
              </fill>
            </x14:dxf>
          </x14:cfRule>
          <xm:sqref>F18</xm:sqref>
        </x14:conditionalFormatting>
        <x14:conditionalFormatting xmlns:xm="http://schemas.microsoft.com/office/excel/2006/main">
          <x14:cfRule type="expression" priority="159" stopIfTrue="1" id="{D07735DF-0AD5-A348-B4C5-748D44EBDB0F}">
            <xm:f>(60 * HOUR(G18) + MINUTE(G18)) &gt;(60 * HOUR(INDEX('1.Locations'!$G$2:$G$16,C18 + 1)) +MINUTE(INDEX('1.Locations'!$G$2:$G$16,C18 + 1)))</xm:f>
            <x14:dxf>
              <fill>
                <patternFill>
                  <bgColor indexed="10"/>
                </patternFill>
              </fill>
            </x14:dxf>
          </x14:cfRule>
          <xm:sqref>G18</xm:sqref>
        </x14:conditionalFormatting>
        <x14:conditionalFormatting xmlns:xm="http://schemas.microsoft.com/office/excel/2006/main">
          <x14:cfRule type="cellIs" priority="160" stopIfTrue="1" operator="lessThan" id="{BB4EA366-D733-FE42-ADB8-32600C771CBD}">
            <xm:f>INDEX('1.Locations'!$F$2:$F$16,C19 + 1)</xm:f>
            <x14:dxf>
              <fill>
                <patternFill>
                  <bgColor indexed="52"/>
                </patternFill>
              </fill>
            </x14:dxf>
          </x14:cfRule>
          <xm:sqref>F19</xm:sqref>
        </x14:conditionalFormatting>
        <x14:conditionalFormatting xmlns:xm="http://schemas.microsoft.com/office/excel/2006/main">
          <x14:cfRule type="expression" priority="161" stopIfTrue="1" id="{2D82B0E9-1534-7B4C-A8EB-1964C268783A}">
            <xm:f>(60 * HOUR(F19) + MINUTE(F19)) &gt;(60 * HOUR(INDEX('1.Locations'!$G$2:$G$16,C19 + 1)) +MINUTE(INDEX('1.Locations'!$G$2:$G$16,C19 + 1)))</xm:f>
            <x14:dxf>
              <fill>
                <patternFill>
                  <bgColor indexed="10"/>
                </patternFill>
              </fill>
            </x14:dxf>
          </x14:cfRule>
          <xm:sqref>F19</xm:sqref>
        </x14:conditionalFormatting>
        <x14:conditionalFormatting xmlns:xm="http://schemas.microsoft.com/office/excel/2006/main">
          <x14:cfRule type="expression" priority="162" stopIfTrue="1" id="{4F011671-5CCB-D64D-83A0-F2149E73A022}">
            <xm:f>(60 * HOUR(G19) + MINUTE(G19)) &gt;(60 * HOUR(INDEX('1.Locations'!$G$2:$G$16,C19 + 1)) +MINUTE(INDEX('1.Locations'!$G$2:$G$16,C19 + 1)))</xm:f>
            <x14:dxf>
              <fill>
                <patternFill>
                  <bgColor indexed="10"/>
                </patternFill>
              </fill>
            </x14:dxf>
          </x14:cfRule>
          <xm:sqref>G19</xm:sqref>
        </x14:conditionalFormatting>
        <x14:conditionalFormatting xmlns:xm="http://schemas.microsoft.com/office/excel/2006/main">
          <x14:cfRule type="cellIs" priority="163" stopIfTrue="1" operator="lessThan" id="{A67FE84D-AC3E-8345-8450-047515736247}">
            <xm:f>INDEX('1.Locations'!$F$2:$F$16,C20 + 1)</xm:f>
            <x14:dxf>
              <fill>
                <patternFill>
                  <bgColor indexed="52"/>
                </patternFill>
              </fill>
            </x14:dxf>
          </x14:cfRule>
          <xm:sqref>F20</xm:sqref>
        </x14:conditionalFormatting>
        <x14:conditionalFormatting xmlns:xm="http://schemas.microsoft.com/office/excel/2006/main">
          <x14:cfRule type="expression" priority="164" stopIfTrue="1" id="{1450EE33-50A3-504C-A721-D0A882A3AED2}">
            <xm:f>(60 * HOUR(F20) + MINUTE(F20)) &gt;(60 * HOUR(INDEX('1.Locations'!$G$2:$G$16,C20 + 1)) +MINUTE(INDEX('1.Locations'!$G$2:$G$16,C20 + 1)))</xm:f>
            <x14:dxf>
              <fill>
                <patternFill>
                  <bgColor indexed="10"/>
                </patternFill>
              </fill>
            </x14:dxf>
          </x14:cfRule>
          <xm:sqref>F20</xm:sqref>
        </x14:conditionalFormatting>
        <x14:conditionalFormatting xmlns:xm="http://schemas.microsoft.com/office/excel/2006/main">
          <x14:cfRule type="expression" priority="165" stopIfTrue="1" id="{025139C0-DE19-2F48-BE04-2494D436FB27}">
            <xm:f>(60 * HOUR(G20) + MINUTE(G20)) &gt;(60 * HOUR(INDEX('1.Locations'!$G$2:$G$16,C20 + 1)) +MINUTE(INDEX('1.Locations'!$G$2:$G$16,C20 + 1)))</xm:f>
            <x14:dxf>
              <fill>
                <patternFill>
                  <bgColor indexed="10"/>
                </patternFill>
              </fill>
            </x14:dxf>
          </x14:cfRule>
          <xm:sqref>G20</xm:sqref>
        </x14:conditionalFormatting>
        <x14:conditionalFormatting xmlns:xm="http://schemas.microsoft.com/office/excel/2006/main">
          <x14:cfRule type="cellIs" priority="167" stopIfTrue="1" operator="greaterThan" id="{8EFE5BAC-ACBC-9A44-9732-3656147FF652}">
            <xm:f>'3.Vehicles'!$G$2</xm:f>
            <x14:dxf/>
          </x14:cfRule>
          <xm:sqref>F6:F20</xm:sqref>
        </x14:conditionalFormatting>
        <x14:conditionalFormatting xmlns:xm="http://schemas.microsoft.com/office/excel/2006/main">
          <x14:cfRule type="cellIs" priority="168" stopIfTrue="1" operator="greaterThan" id="{CBE9AE6F-471C-6742-A5DE-CE33BF72DA2B}">
            <xm:f>'3.Vehicles'!$C$2</xm:f>
            <x14:dxf>
              <fill>
                <patternFill>
                  <bgColor indexed="10"/>
                </patternFill>
              </fill>
            </x14:dxf>
          </x14:cfRule>
          <xm:sqref>N5:N20</xm:sqref>
        </x14:conditionalFormatting>
        <x14:conditionalFormatting xmlns:xm="http://schemas.microsoft.com/office/excel/2006/main">
          <x14:cfRule type="cellIs" priority="170" stopIfTrue="1" operator="greaterThan" id="{378BF183-3305-6C40-B4AC-9F15715A70A3}">
            <xm:f>'3.Vehicles'!$I$2</xm:f>
            <x14:dxf>
              <fill>
                <patternFill>
                  <bgColor indexed="10"/>
                </patternFill>
              </fill>
            </x14:dxf>
          </x14:cfRule>
          <xm:sqref>E6:E20</xm:sqref>
        </x14:conditionalFormatting>
        <x14:conditionalFormatting xmlns:xm="http://schemas.microsoft.com/office/excel/2006/main">
          <x14:cfRule type="cellIs" priority="171" stopIfTrue="1" operator="greaterThan" id="{3EB73579-4D46-E749-9FFC-8D021F814E80}">
            <xm:f>'3.Vehicles'!$J$2</xm:f>
            <x14:dxf>
              <fill>
                <patternFill>
                  <bgColor indexed="10"/>
                </patternFill>
              </fill>
            </x14:dxf>
          </x14:cfRule>
          <xm:sqref>H6:H20</xm:sqref>
        </x14:conditionalFormatting>
        <x14:conditionalFormatting xmlns:xm="http://schemas.microsoft.com/office/excel/2006/main">
          <x14:cfRule type="expression" priority="62" stopIfTrue="1" id="{05ECA5D5-8D9B-0B49-BBA5-F5EB5A6CF31E}">
            <xm:f>(60 * HOUR(W5) + MINUTE(W5)) &gt;(60 * HOUR(INDEX('1.Locations'!$G$2:$G$16,T5 + 1)) +MINUTE(INDEX('1.Locations'!$G$2:$G$16,T5 + 1)))</xm:f>
            <x14:dxf>
              <fill>
                <patternFill>
                  <bgColor indexed="10"/>
                </patternFill>
              </fill>
            </x14:dxf>
          </x14:cfRule>
          <xm:sqref>W5</xm:sqref>
        </x14:conditionalFormatting>
        <x14:conditionalFormatting xmlns:xm="http://schemas.microsoft.com/office/excel/2006/main">
          <x14:cfRule type="expression" priority="63" stopIfTrue="1" id="{F6E0DEAF-7D71-8F46-B186-CA9C514FF75C}">
            <xm:f>(60 * HOUR(X5) + MINUTE(X5)) &gt;(60 * HOUR(INDEX('1.Locations'!$G$2:$G$16,T5 + 1)) +MINUTE(INDEX('1.Locations'!$G$2:$G$16,T5 + 1)))</xm:f>
            <x14:dxf>
              <fill>
                <patternFill>
                  <bgColor indexed="10"/>
                </patternFill>
              </fill>
            </x14:dxf>
          </x14:cfRule>
          <xm:sqref>X5</xm:sqref>
        </x14:conditionalFormatting>
        <x14:conditionalFormatting xmlns:xm="http://schemas.microsoft.com/office/excel/2006/main">
          <x14:cfRule type="cellIs" priority="61" stopIfTrue="1" operator="lessThan" id="{185A0CB2-D6E3-0746-A197-9B34933F03AC}">
            <xm:f>INDEX('1.Locations'!$F$2:$F$16,T6 + 1)</xm:f>
            <x14:dxf>
              <fill>
                <patternFill patternType="solid">
                  <bgColor indexed="43"/>
                </patternFill>
              </fill>
            </x14:dxf>
          </x14:cfRule>
          <x14:cfRule type="expression" priority="64" stopIfTrue="1" id="{7936044E-2712-3C45-B981-A02ABCC35B89}">
            <xm:f>(60 * HOUR(W6) + MINUTE(W6)) &gt;(60 * HOUR(INDEX('1.Locations'!$G$2:$G$16,T6 + 1)) +MINUTE(INDEX('1.Locations'!$G$2:$G$16,T6 + 1)))</xm:f>
            <x14:dxf>
              <fill>
                <patternFill>
                  <bgColor indexed="10"/>
                </patternFill>
              </fill>
            </x14:dxf>
          </x14:cfRule>
          <xm:sqref>W6</xm:sqref>
        </x14:conditionalFormatting>
        <x14:conditionalFormatting xmlns:xm="http://schemas.microsoft.com/office/excel/2006/main">
          <x14:cfRule type="expression" priority="65" stopIfTrue="1" id="{6DBDD836-7AA1-6D4E-95E1-D8910186953B}">
            <xm:f>(60 * HOUR(X6) + MINUTE(X6)) &gt;(60 * HOUR(INDEX('1.Locations'!$G$2:$G$16,T6 + 1)) +MINUTE(INDEX('1.Locations'!$G$2:$G$16,T6 + 1)))</xm:f>
            <x14:dxf>
              <fill>
                <patternFill>
                  <bgColor indexed="10"/>
                </patternFill>
              </fill>
            </x14:dxf>
          </x14:cfRule>
          <xm:sqref>X6</xm:sqref>
        </x14:conditionalFormatting>
        <x14:conditionalFormatting xmlns:xm="http://schemas.microsoft.com/office/excel/2006/main">
          <x14:cfRule type="cellIs" priority="66" stopIfTrue="1" operator="lessThan" id="{6C982857-5254-7547-9A25-F627F1403DCA}">
            <xm:f>INDEX('1.Locations'!$F$2:$F$16,T7 + 1)</xm:f>
            <x14:dxf>
              <fill>
                <patternFill>
                  <bgColor indexed="52"/>
                </patternFill>
              </fill>
            </x14:dxf>
          </x14:cfRule>
          <x14:cfRule type="expression" priority="67" stopIfTrue="1" id="{C54CCA8E-F3C9-9840-9486-9A71000980FF}">
            <xm:f>(60 * HOUR(W7) + MINUTE(W7)) &gt;(60 * HOUR(INDEX('1.Locations'!$G$2:$G$16,T7 + 1)) +MINUTE(INDEX('1.Locations'!$G$2:$G$16,T7 + 1)))</xm:f>
            <x14:dxf>
              <fill>
                <patternFill>
                  <bgColor indexed="10"/>
                </patternFill>
              </fill>
            </x14:dxf>
          </x14:cfRule>
          <xm:sqref>W7</xm:sqref>
        </x14:conditionalFormatting>
        <x14:conditionalFormatting xmlns:xm="http://schemas.microsoft.com/office/excel/2006/main">
          <x14:cfRule type="expression" priority="68" stopIfTrue="1" id="{0095CC92-84EC-8147-AF07-3748B52E104C}">
            <xm:f>(60 * HOUR(X7) + MINUTE(X7)) &gt;(60 * HOUR(INDEX('1.Locations'!$G$2:$G$16,T7 + 1)) +MINUTE(INDEX('1.Locations'!$G$2:$G$16,T7 + 1)))</xm:f>
            <x14:dxf>
              <fill>
                <patternFill>
                  <bgColor indexed="10"/>
                </patternFill>
              </fill>
            </x14:dxf>
          </x14:cfRule>
          <xm:sqref>X7</xm:sqref>
        </x14:conditionalFormatting>
        <x14:conditionalFormatting xmlns:xm="http://schemas.microsoft.com/office/excel/2006/main">
          <x14:cfRule type="cellIs" priority="69" stopIfTrue="1" operator="lessThan" id="{A5533309-42BF-EB4F-94C6-54F63C70CE14}">
            <xm:f>INDEX('1.Locations'!$F$2:$F$16,T8 + 1)</xm:f>
            <x14:dxf>
              <fill>
                <patternFill>
                  <bgColor indexed="52"/>
                </patternFill>
              </fill>
            </x14:dxf>
          </x14:cfRule>
          <x14:cfRule type="expression" priority="70" stopIfTrue="1" id="{42C3B6B4-8D6A-4C48-AE33-B9C33CFBE2D0}">
            <xm:f>(60 * HOUR(W8) + MINUTE(W8)) &gt;(60 * HOUR(INDEX('1.Locations'!$G$2:$G$16,T8 + 1)) +MINUTE(INDEX('1.Locations'!$G$2:$G$16,T8 + 1)))</xm:f>
            <x14:dxf>
              <fill>
                <patternFill>
                  <bgColor indexed="10"/>
                </patternFill>
              </fill>
            </x14:dxf>
          </x14:cfRule>
          <xm:sqref>W8</xm:sqref>
        </x14:conditionalFormatting>
        <x14:conditionalFormatting xmlns:xm="http://schemas.microsoft.com/office/excel/2006/main">
          <x14:cfRule type="expression" priority="71" stopIfTrue="1" id="{721D6445-BAA6-C64F-9DD1-23B9C59312E2}">
            <xm:f>(60 * HOUR(X8) + MINUTE(X8)) &gt;(60 * HOUR(INDEX('1.Locations'!$G$2:$G$16,T8 + 1)) +MINUTE(INDEX('1.Locations'!$G$2:$G$16,T8 + 1)))</xm:f>
            <x14:dxf>
              <fill>
                <patternFill>
                  <bgColor indexed="10"/>
                </patternFill>
              </fill>
            </x14:dxf>
          </x14:cfRule>
          <xm:sqref>X8</xm:sqref>
        </x14:conditionalFormatting>
        <x14:conditionalFormatting xmlns:xm="http://schemas.microsoft.com/office/excel/2006/main">
          <x14:cfRule type="cellIs" priority="72" stopIfTrue="1" operator="lessThan" id="{39F793F7-55E4-9E45-83B0-0FA83F5BF3CF}">
            <xm:f>INDEX('1.Locations'!$F$2:$F$16,T9 + 1)</xm:f>
            <x14:dxf>
              <fill>
                <patternFill>
                  <bgColor indexed="52"/>
                </patternFill>
              </fill>
            </x14:dxf>
          </x14:cfRule>
          <x14:cfRule type="expression" priority="73" stopIfTrue="1" id="{79E5B9C5-CDE7-514A-A8DD-4607C5B6977E}">
            <xm:f>(60 * HOUR(W9) + MINUTE(W9)) &gt;(60 * HOUR(INDEX('1.Locations'!$G$2:$G$16,T9 + 1)) +MINUTE(INDEX('1.Locations'!$G$2:$G$16,T9 + 1)))</xm:f>
            <x14:dxf>
              <fill>
                <patternFill>
                  <bgColor indexed="10"/>
                </patternFill>
              </fill>
            </x14:dxf>
          </x14:cfRule>
          <xm:sqref>W9</xm:sqref>
        </x14:conditionalFormatting>
        <x14:conditionalFormatting xmlns:xm="http://schemas.microsoft.com/office/excel/2006/main">
          <x14:cfRule type="expression" priority="74" stopIfTrue="1" id="{C2F25455-80A4-6040-90A3-3E5D956300EB}">
            <xm:f>(60 * HOUR(X9) + MINUTE(X9)) &gt;(60 * HOUR(INDEX('1.Locations'!$G$2:$G$16,T9 + 1)) +MINUTE(INDEX('1.Locations'!$G$2:$G$16,T9 + 1)))</xm:f>
            <x14:dxf>
              <fill>
                <patternFill>
                  <bgColor indexed="10"/>
                </patternFill>
              </fill>
            </x14:dxf>
          </x14:cfRule>
          <xm:sqref>X9</xm:sqref>
        </x14:conditionalFormatting>
        <x14:conditionalFormatting xmlns:xm="http://schemas.microsoft.com/office/excel/2006/main">
          <x14:cfRule type="cellIs" priority="75" stopIfTrue="1" operator="lessThan" id="{EEED0491-47BA-E94E-ADB1-0274C454824D}">
            <xm:f>INDEX('1.Locations'!$F$2:$F$16,T10 + 1)</xm:f>
            <x14:dxf>
              <fill>
                <patternFill>
                  <bgColor indexed="52"/>
                </patternFill>
              </fill>
            </x14:dxf>
          </x14:cfRule>
          <x14:cfRule type="expression" priority="76" stopIfTrue="1" id="{59991D0F-E03B-E443-8838-623EA99E2A04}">
            <xm:f>(60 * HOUR(W10) + MINUTE(W10)) &gt;(60 * HOUR(INDEX('1.Locations'!$G$2:$G$16,T10 + 1)) +MINUTE(INDEX('1.Locations'!$G$2:$G$16,T10 + 1)))</xm:f>
            <x14:dxf>
              <fill>
                <patternFill>
                  <bgColor indexed="10"/>
                </patternFill>
              </fill>
            </x14:dxf>
          </x14:cfRule>
          <xm:sqref>W10</xm:sqref>
        </x14:conditionalFormatting>
        <x14:conditionalFormatting xmlns:xm="http://schemas.microsoft.com/office/excel/2006/main">
          <x14:cfRule type="expression" priority="77" stopIfTrue="1" id="{5788744F-F7DC-844D-AF40-131860FE531F}">
            <xm:f>(60 * HOUR(X10) + MINUTE(X10)) &gt;(60 * HOUR(INDEX('1.Locations'!$G$2:$G$16,T10 + 1)) +MINUTE(INDEX('1.Locations'!$G$2:$G$16,T10 + 1)))</xm:f>
            <x14:dxf>
              <fill>
                <patternFill>
                  <bgColor indexed="10"/>
                </patternFill>
              </fill>
            </x14:dxf>
          </x14:cfRule>
          <xm:sqref>X10</xm:sqref>
        </x14:conditionalFormatting>
        <x14:conditionalFormatting xmlns:xm="http://schemas.microsoft.com/office/excel/2006/main">
          <x14:cfRule type="cellIs" priority="78" stopIfTrue="1" operator="lessThan" id="{008D99B0-0337-2349-B86C-859EF2C83036}">
            <xm:f>INDEX('1.Locations'!$F$2:$F$16,T11 + 1)</xm:f>
            <x14:dxf>
              <fill>
                <patternFill>
                  <bgColor indexed="52"/>
                </patternFill>
              </fill>
            </x14:dxf>
          </x14:cfRule>
          <x14:cfRule type="expression" priority="79" stopIfTrue="1" id="{6B2B88FA-34A9-7243-9FC8-72AED9E36CAD}">
            <xm:f>(60 * HOUR(W11) + MINUTE(W11)) &gt;(60 * HOUR(INDEX('1.Locations'!$G$2:$G$16,T11 + 1)) +MINUTE(INDEX('1.Locations'!$G$2:$G$16,T11 + 1)))</xm:f>
            <x14:dxf>
              <fill>
                <patternFill>
                  <bgColor indexed="10"/>
                </patternFill>
              </fill>
            </x14:dxf>
          </x14:cfRule>
          <xm:sqref>W11</xm:sqref>
        </x14:conditionalFormatting>
        <x14:conditionalFormatting xmlns:xm="http://schemas.microsoft.com/office/excel/2006/main">
          <x14:cfRule type="expression" priority="80" stopIfTrue="1" id="{7C13BE98-A7D9-C24B-B404-C135A80BF83A}">
            <xm:f>(60 * HOUR(X11) + MINUTE(X11)) &gt;(60 * HOUR(INDEX('1.Locations'!$G$2:$G$16,T11 + 1)) +MINUTE(INDEX('1.Locations'!$G$2:$G$16,T11 + 1)))</xm:f>
            <x14:dxf>
              <fill>
                <patternFill>
                  <bgColor indexed="10"/>
                </patternFill>
              </fill>
            </x14:dxf>
          </x14:cfRule>
          <xm:sqref>X11</xm:sqref>
        </x14:conditionalFormatting>
        <x14:conditionalFormatting xmlns:xm="http://schemas.microsoft.com/office/excel/2006/main">
          <x14:cfRule type="cellIs" priority="81" stopIfTrue="1" operator="lessThan" id="{DA698E5E-0458-2E48-9831-E978584E71DB}">
            <xm:f>INDEX('1.Locations'!$F$2:$F$16,T12 + 1)</xm:f>
            <x14:dxf>
              <fill>
                <patternFill>
                  <bgColor indexed="52"/>
                </patternFill>
              </fill>
            </x14:dxf>
          </x14:cfRule>
          <x14:cfRule type="expression" priority="82" stopIfTrue="1" id="{9B873AFE-B2DE-CF46-B50B-FF0F28605008}">
            <xm:f>(60 * HOUR(W12) + MINUTE(W12)) &gt;(60 * HOUR(INDEX('1.Locations'!$G$2:$G$16,T12 + 1)) +MINUTE(INDEX('1.Locations'!$G$2:$G$16,T12 + 1)))</xm:f>
            <x14:dxf>
              <fill>
                <patternFill>
                  <bgColor indexed="10"/>
                </patternFill>
              </fill>
            </x14:dxf>
          </x14:cfRule>
          <xm:sqref>W12</xm:sqref>
        </x14:conditionalFormatting>
        <x14:conditionalFormatting xmlns:xm="http://schemas.microsoft.com/office/excel/2006/main">
          <x14:cfRule type="expression" priority="83" stopIfTrue="1" id="{A1C55133-0263-3540-BF2D-EEBE68D92071}">
            <xm:f>(60 * HOUR(X12) + MINUTE(X12)) &gt;(60 * HOUR(INDEX('1.Locations'!$G$2:$G$16,T12 + 1)) +MINUTE(INDEX('1.Locations'!$G$2:$G$16,T12 + 1)))</xm:f>
            <x14:dxf>
              <fill>
                <patternFill>
                  <bgColor indexed="10"/>
                </patternFill>
              </fill>
            </x14:dxf>
          </x14:cfRule>
          <xm:sqref>X12</xm:sqref>
        </x14:conditionalFormatting>
        <x14:conditionalFormatting xmlns:xm="http://schemas.microsoft.com/office/excel/2006/main">
          <x14:cfRule type="cellIs" priority="84" stopIfTrue="1" operator="lessThan" id="{DED2672A-C237-964B-A5EA-EA1C20FC7095}">
            <xm:f>INDEX('1.Locations'!$F$2:$F$16,T13 + 1)</xm:f>
            <x14:dxf>
              <fill>
                <patternFill>
                  <bgColor indexed="52"/>
                </patternFill>
              </fill>
            </x14:dxf>
          </x14:cfRule>
          <x14:cfRule type="expression" priority="85" stopIfTrue="1" id="{02F38A63-BDD3-4B4A-941A-90102D8C9B5D}">
            <xm:f>(60 * HOUR(W13) + MINUTE(W13)) &gt;(60 * HOUR(INDEX('1.Locations'!$G$2:$G$16,T13 + 1)) +MINUTE(INDEX('1.Locations'!$G$2:$G$16,T13 + 1)))</xm:f>
            <x14:dxf>
              <fill>
                <patternFill>
                  <bgColor indexed="10"/>
                </patternFill>
              </fill>
            </x14:dxf>
          </x14:cfRule>
          <xm:sqref>W13</xm:sqref>
        </x14:conditionalFormatting>
        <x14:conditionalFormatting xmlns:xm="http://schemas.microsoft.com/office/excel/2006/main">
          <x14:cfRule type="expression" priority="86" stopIfTrue="1" id="{7B8C5152-4252-CC4E-8BC6-E944863CFF07}">
            <xm:f>(60 * HOUR(X13) + MINUTE(X13)) &gt;(60 * HOUR(INDEX('1.Locations'!$G$2:$G$16,T13 + 1)) +MINUTE(INDEX('1.Locations'!$G$2:$G$16,T13 + 1)))</xm:f>
            <x14:dxf>
              <fill>
                <patternFill>
                  <bgColor indexed="10"/>
                </patternFill>
              </fill>
            </x14:dxf>
          </x14:cfRule>
          <xm:sqref>X13</xm:sqref>
        </x14:conditionalFormatting>
        <x14:conditionalFormatting xmlns:xm="http://schemas.microsoft.com/office/excel/2006/main">
          <x14:cfRule type="cellIs" priority="87" stopIfTrue="1" operator="lessThan" id="{4C79E97A-05B0-7A4C-8CBD-5B22F5C782DB}">
            <xm:f>INDEX('1.Locations'!$F$2:$F$16,T14 + 1)</xm:f>
            <x14:dxf>
              <fill>
                <patternFill>
                  <bgColor indexed="52"/>
                </patternFill>
              </fill>
            </x14:dxf>
          </x14:cfRule>
          <x14:cfRule type="expression" priority="88" stopIfTrue="1" id="{F89F5D6B-3F57-E441-9DBE-C2F02B602347}">
            <xm:f>(60 * HOUR(W14) + MINUTE(W14)) &gt;(60 * HOUR(INDEX('1.Locations'!$G$2:$G$16,T14 + 1)) +MINUTE(INDEX('1.Locations'!$G$2:$G$16,T14 + 1)))</xm:f>
            <x14:dxf>
              <fill>
                <patternFill>
                  <bgColor indexed="10"/>
                </patternFill>
              </fill>
            </x14:dxf>
          </x14:cfRule>
          <xm:sqref>W14</xm:sqref>
        </x14:conditionalFormatting>
        <x14:conditionalFormatting xmlns:xm="http://schemas.microsoft.com/office/excel/2006/main">
          <x14:cfRule type="expression" priority="89" stopIfTrue="1" id="{57CD105F-6AA1-4045-AE9F-0492E7C1BD40}">
            <xm:f>(60 * HOUR(X14) + MINUTE(X14)) &gt;(60 * HOUR(INDEX('1.Locations'!$G$2:$G$16,T14 + 1)) +MINUTE(INDEX('1.Locations'!$G$2:$G$16,T14 + 1)))</xm:f>
            <x14:dxf>
              <fill>
                <patternFill>
                  <bgColor indexed="10"/>
                </patternFill>
              </fill>
            </x14:dxf>
          </x14:cfRule>
          <xm:sqref>X14</xm:sqref>
        </x14:conditionalFormatting>
        <x14:conditionalFormatting xmlns:xm="http://schemas.microsoft.com/office/excel/2006/main">
          <x14:cfRule type="cellIs" priority="90" stopIfTrue="1" operator="lessThan" id="{58FB5CB9-8158-2948-992F-ABF4BD3EEC59}">
            <xm:f>INDEX('1.Locations'!$F$2:$F$16,T15 + 1)</xm:f>
            <x14:dxf>
              <fill>
                <patternFill>
                  <bgColor indexed="52"/>
                </patternFill>
              </fill>
            </x14:dxf>
          </x14:cfRule>
          <xm:sqref>W15</xm:sqref>
        </x14:conditionalFormatting>
        <x14:conditionalFormatting xmlns:xm="http://schemas.microsoft.com/office/excel/2006/main">
          <x14:cfRule type="expression" priority="91" stopIfTrue="1" id="{7D72AA66-A5D6-8B49-AEE7-CA209B250B76}">
            <xm:f>(60 * HOUR(W15) + MINUTE(W15)) &gt;(60 * HOUR(INDEX('1.Locations'!$G$2:$G$16,T15 + 1)) +MINUTE(INDEX('1.Locations'!$G$2:$G$16,T15 + 1)))</xm:f>
            <x14:dxf>
              <fill>
                <patternFill>
                  <bgColor indexed="10"/>
                </patternFill>
              </fill>
            </x14:dxf>
          </x14:cfRule>
          <xm:sqref>W15</xm:sqref>
        </x14:conditionalFormatting>
        <x14:conditionalFormatting xmlns:xm="http://schemas.microsoft.com/office/excel/2006/main">
          <x14:cfRule type="expression" priority="92" stopIfTrue="1" id="{2172DA17-0278-D949-A858-C96F2099FCB9}">
            <xm:f>(60 * HOUR(X15) + MINUTE(X15)) &gt;(60 * HOUR(INDEX('1.Locations'!$G$2:$G$16,T15 + 1)) +MINUTE(INDEX('1.Locations'!$G$2:$G$16,T15 + 1)))</xm:f>
            <x14:dxf>
              <fill>
                <patternFill>
                  <bgColor indexed="10"/>
                </patternFill>
              </fill>
            </x14:dxf>
          </x14:cfRule>
          <xm:sqref>X15</xm:sqref>
        </x14:conditionalFormatting>
        <x14:conditionalFormatting xmlns:xm="http://schemas.microsoft.com/office/excel/2006/main">
          <x14:cfRule type="cellIs" priority="93" stopIfTrue="1" operator="lessThan" id="{B82516D0-E693-A64E-AEBD-7FA5267ADCC0}">
            <xm:f>INDEX('1.Locations'!$F$2:$F$16,T16 + 1)</xm:f>
            <x14:dxf>
              <fill>
                <patternFill>
                  <bgColor indexed="52"/>
                </patternFill>
              </fill>
            </x14:dxf>
          </x14:cfRule>
          <xm:sqref>W16</xm:sqref>
        </x14:conditionalFormatting>
        <x14:conditionalFormatting xmlns:xm="http://schemas.microsoft.com/office/excel/2006/main">
          <x14:cfRule type="expression" priority="94" stopIfTrue="1" id="{2B655990-9D5F-0041-8847-4C8B38A67BEE}">
            <xm:f>(60 * HOUR(W16) + MINUTE(W16)) &gt;(60 * HOUR(INDEX('1.Locations'!$G$2:$G$16,T16 + 1)) +MINUTE(INDEX('1.Locations'!$G$2:$G$16,T16 + 1)))</xm:f>
            <x14:dxf>
              <fill>
                <patternFill>
                  <bgColor indexed="10"/>
                </patternFill>
              </fill>
            </x14:dxf>
          </x14:cfRule>
          <xm:sqref>W16</xm:sqref>
        </x14:conditionalFormatting>
        <x14:conditionalFormatting xmlns:xm="http://schemas.microsoft.com/office/excel/2006/main">
          <x14:cfRule type="expression" priority="95" stopIfTrue="1" id="{C14FA6BD-244E-FE47-B8C1-E584E4E37136}">
            <xm:f>(60 * HOUR(X16) + MINUTE(X16)) &gt;(60 * HOUR(INDEX('1.Locations'!$G$2:$G$16,T16 + 1)) +MINUTE(INDEX('1.Locations'!$G$2:$G$16,T16 + 1)))</xm:f>
            <x14:dxf>
              <fill>
                <patternFill>
                  <bgColor indexed="10"/>
                </patternFill>
              </fill>
            </x14:dxf>
          </x14:cfRule>
          <xm:sqref>X16</xm:sqref>
        </x14:conditionalFormatting>
        <x14:conditionalFormatting xmlns:xm="http://schemas.microsoft.com/office/excel/2006/main">
          <x14:cfRule type="cellIs" priority="96" stopIfTrue="1" operator="lessThan" id="{07D83A1F-2C15-8D41-AD7C-285992CC6548}">
            <xm:f>INDEX('1.Locations'!$F$2:$F$16,T17 + 1)</xm:f>
            <x14:dxf>
              <fill>
                <patternFill>
                  <bgColor indexed="52"/>
                </patternFill>
              </fill>
            </x14:dxf>
          </x14:cfRule>
          <xm:sqref>W17</xm:sqref>
        </x14:conditionalFormatting>
        <x14:conditionalFormatting xmlns:xm="http://schemas.microsoft.com/office/excel/2006/main">
          <x14:cfRule type="expression" priority="97" stopIfTrue="1" id="{794F0A1A-49D4-7C41-9FDB-797EA3203EA1}">
            <xm:f>(60 * HOUR(W17) + MINUTE(W17)) &gt;(60 * HOUR(INDEX('1.Locations'!$G$2:$G$16,T17 + 1)) +MINUTE(INDEX('1.Locations'!$G$2:$G$16,T17 + 1)))</xm:f>
            <x14:dxf>
              <fill>
                <patternFill>
                  <bgColor indexed="10"/>
                </patternFill>
              </fill>
            </x14:dxf>
          </x14:cfRule>
          <xm:sqref>W17</xm:sqref>
        </x14:conditionalFormatting>
        <x14:conditionalFormatting xmlns:xm="http://schemas.microsoft.com/office/excel/2006/main">
          <x14:cfRule type="expression" priority="98" stopIfTrue="1" id="{8FF1CB00-5314-4347-987A-A413C73ACC8A}">
            <xm:f>(60 * HOUR(X17) + MINUTE(X17)) &gt;(60 * HOUR(INDEX('1.Locations'!$G$2:$G$16,T17 + 1)) +MINUTE(INDEX('1.Locations'!$G$2:$G$16,T17 + 1)))</xm:f>
            <x14:dxf>
              <fill>
                <patternFill>
                  <bgColor indexed="10"/>
                </patternFill>
              </fill>
            </x14:dxf>
          </x14:cfRule>
          <xm:sqref>X17</xm:sqref>
        </x14:conditionalFormatting>
        <x14:conditionalFormatting xmlns:xm="http://schemas.microsoft.com/office/excel/2006/main">
          <x14:cfRule type="cellIs" priority="99" stopIfTrue="1" operator="lessThan" id="{AA6FE0F0-7500-F248-9C5E-15D736312B4D}">
            <xm:f>INDEX('1.Locations'!$F$2:$F$16,T18 + 1)</xm:f>
            <x14:dxf>
              <fill>
                <patternFill>
                  <bgColor indexed="52"/>
                </patternFill>
              </fill>
            </x14:dxf>
          </x14:cfRule>
          <xm:sqref>W18</xm:sqref>
        </x14:conditionalFormatting>
        <x14:conditionalFormatting xmlns:xm="http://schemas.microsoft.com/office/excel/2006/main">
          <x14:cfRule type="expression" priority="100" stopIfTrue="1" id="{CDDED035-15A9-114B-A3BC-D10730AC0D72}">
            <xm:f>(60 * HOUR(W18) + MINUTE(W18)) &gt;(60 * HOUR(INDEX('1.Locations'!$G$2:$G$16,T18 + 1)) +MINUTE(INDEX('1.Locations'!$G$2:$G$16,T18 + 1)))</xm:f>
            <x14:dxf>
              <fill>
                <patternFill>
                  <bgColor indexed="10"/>
                </patternFill>
              </fill>
            </x14:dxf>
          </x14:cfRule>
          <xm:sqref>W18</xm:sqref>
        </x14:conditionalFormatting>
        <x14:conditionalFormatting xmlns:xm="http://schemas.microsoft.com/office/excel/2006/main">
          <x14:cfRule type="expression" priority="101" stopIfTrue="1" id="{8F88A6C3-AC2B-D84A-AC8B-32BB28950073}">
            <xm:f>(60 * HOUR(X18) + MINUTE(X18)) &gt;(60 * HOUR(INDEX('1.Locations'!$G$2:$G$16,T18 + 1)) +MINUTE(INDEX('1.Locations'!$G$2:$G$16,T18 + 1)))</xm:f>
            <x14:dxf>
              <fill>
                <patternFill>
                  <bgColor indexed="10"/>
                </patternFill>
              </fill>
            </x14:dxf>
          </x14:cfRule>
          <xm:sqref>X18</xm:sqref>
        </x14:conditionalFormatting>
        <x14:conditionalFormatting xmlns:xm="http://schemas.microsoft.com/office/excel/2006/main">
          <x14:cfRule type="cellIs" priority="102" stopIfTrue="1" operator="lessThan" id="{A5FD3A49-7FA4-024B-910A-7FEADCEC61E2}">
            <xm:f>INDEX('1.Locations'!$F$2:$F$16,T19 + 1)</xm:f>
            <x14:dxf>
              <fill>
                <patternFill>
                  <bgColor indexed="52"/>
                </patternFill>
              </fill>
            </x14:dxf>
          </x14:cfRule>
          <xm:sqref>W19</xm:sqref>
        </x14:conditionalFormatting>
        <x14:conditionalFormatting xmlns:xm="http://schemas.microsoft.com/office/excel/2006/main">
          <x14:cfRule type="expression" priority="103" stopIfTrue="1" id="{43205E0B-7E9C-324C-A7DB-44FF6B3A2FB1}">
            <xm:f>(60 * HOUR(W19) + MINUTE(W19)) &gt;(60 * HOUR(INDEX('1.Locations'!$G$2:$G$16,T19 + 1)) +MINUTE(INDEX('1.Locations'!$G$2:$G$16,T19 + 1)))</xm:f>
            <x14:dxf>
              <fill>
                <patternFill>
                  <bgColor indexed="10"/>
                </patternFill>
              </fill>
            </x14:dxf>
          </x14:cfRule>
          <xm:sqref>W19</xm:sqref>
        </x14:conditionalFormatting>
        <x14:conditionalFormatting xmlns:xm="http://schemas.microsoft.com/office/excel/2006/main">
          <x14:cfRule type="expression" priority="104" stopIfTrue="1" id="{CA13BE96-C49A-E94A-A8FB-1916AD5AD435}">
            <xm:f>(60 * HOUR(X19) + MINUTE(X19)) &gt;(60 * HOUR(INDEX('1.Locations'!$G$2:$G$16,T19 + 1)) +MINUTE(INDEX('1.Locations'!$G$2:$G$16,T19 + 1)))</xm:f>
            <x14:dxf>
              <fill>
                <patternFill>
                  <bgColor indexed="10"/>
                </patternFill>
              </fill>
            </x14:dxf>
          </x14:cfRule>
          <xm:sqref>X19</xm:sqref>
        </x14:conditionalFormatting>
        <x14:conditionalFormatting xmlns:xm="http://schemas.microsoft.com/office/excel/2006/main">
          <x14:cfRule type="cellIs" priority="105" stopIfTrue="1" operator="lessThan" id="{4FB0505C-45E3-DB49-894B-7F36319E68CA}">
            <xm:f>INDEX('1.Locations'!$F$2:$F$16,T20 + 1)</xm:f>
            <x14:dxf>
              <fill>
                <patternFill>
                  <bgColor indexed="52"/>
                </patternFill>
              </fill>
            </x14:dxf>
          </x14:cfRule>
          <xm:sqref>W20</xm:sqref>
        </x14:conditionalFormatting>
        <x14:conditionalFormatting xmlns:xm="http://schemas.microsoft.com/office/excel/2006/main">
          <x14:cfRule type="expression" priority="106" stopIfTrue="1" id="{1F4A882E-87DD-4D4A-9383-CEDEADB93C50}">
            <xm:f>(60 * HOUR(W20) + MINUTE(W20)) &gt;(60 * HOUR(INDEX('1.Locations'!$G$2:$G$16,T20 + 1)) +MINUTE(INDEX('1.Locations'!$G$2:$G$16,T20 + 1)))</xm:f>
            <x14:dxf>
              <fill>
                <patternFill>
                  <bgColor indexed="10"/>
                </patternFill>
              </fill>
            </x14:dxf>
          </x14:cfRule>
          <xm:sqref>W20</xm:sqref>
        </x14:conditionalFormatting>
        <x14:conditionalFormatting xmlns:xm="http://schemas.microsoft.com/office/excel/2006/main">
          <x14:cfRule type="expression" priority="107" stopIfTrue="1" id="{89BD6D3E-21D3-754F-914C-A66BDCD3CE3C}">
            <xm:f>(60 * HOUR(X20) + MINUTE(X20)) &gt;(60 * HOUR(INDEX('1.Locations'!$G$2:$G$16,T20 + 1)) +MINUTE(INDEX('1.Locations'!$G$2:$G$16,T20 + 1)))</xm:f>
            <x14:dxf>
              <fill>
                <patternFill>
                  <bgColor indexed="10"/>
                </patternFill>
              </fill>
            </x14:dxf>
          </x14:cfRule>
          <xm:sqref>X20</xm:sqref>
        </x14:conditionalFormatting>
        <x14:conditionalFormatting xmlns:xm="http://schemas.microsoft.com/office/excel/2006/main">
          <x14:cfRule type="cellIs" priority="109" stopIfTrue="1" operator="greaterThan" id="{F860145A-C6D3-4547-9F3B-E2CB7FA449ED}">
            <xm:f>'3.Vehicles'!$G$2</xm:f>
            <x14:dxf/>
          </x14:cfRule>
          <xm:sqref>W6:W20</xm:sqref>
        </x14:conditionalFormatting>
        <x14:conditionalFormatting xmlns:xm="http://schemas.microsoft.com/office/excel/2006/main">
          <x14:cfRule type="cellIs" priority="110" stopIfTrue="1" operator="greaterThan" id="{2E932EF5-4FBC-824E-8778-2847533CF61B}">
            <xm:f>'3.Vehicles'!$C$2</xm:f>
            <x14:dxf>
              <fill>
                <patternFill>
                  <bgColor indexed="10"/>
                </patternFill>
              </fill>
            </x14:dxf>
          </x14:cfRule>
          <xm:sqref>AE5:AE20</xm:sqref>
        </x14:conditionalFormatting>
        <x14:conditionalFormatting xmlns:xm="http://schemas.microsoft.com/office/excel/2006/main">
          <x14:cfRule type="cellIs" priority="112" stopIfTrue="1" operator="greaterThan" id="{79C2D8D7-C760-C34B-B85D-26EBEE7B0C91}">
            <xm:f>'3.Vehicles'!$I$2</xm:f>
            <x14:dxf>
              <fill>
                <patternFill>
                  <bgColor indexed="10"/>
                </patternFill>
              </fill>
            </x14:dxf>
          </x14:cfRule>
          <xm:sqref>V6:V20</xm:sqref>
        </x14:conditionalFormatting>
        <x14:conditionalFormatting xmlns:xm="http://schemas.microsoft.com/office/excel/2006/main">
          <x14:cfRule type="cellIs" priority="113" stopIfTrue="1" operator="greaterThan" id="{3CF5BE06-C082-504F-BB70-5FEFC5244F49}">
            <xm:f>'3.Vehicles'!$J$2</xm:f>
            <x14:dxf>
              <fill>
                <patternFill>
                  <bgColor indexed="10"/>
                </patternFill>
              </fill>
            </x14:dxf>
          </x14:cfRule>
          <xm:sqref>Y6:Y20</xm:sqref>
        </x14:conditionalFormatting>
        <x14:conditionalFormatting xmlns:xm="http://schemas.microsoft.com/office/excel/2006/main">
          <x14:cfRule type="expression" priority="5" stopIfTrue="1" id="{1B69EC9E-4BBB-1645-AA87-F099910EDC2C}">
            <xm:f>(60 * HOUR(AN5) + MINUTE(AN5)) &gt;(60 * HOUR(INDEX('1.Locations'!$G$2:$G$16,AK5 + 1)) +MINUTE(INDEX('1.Locations'!$G$2:$G$16,AK5 + 1)))</xm:f>
            <x14:dxf>
              <fill>
                <patternFill>
                  <bgColor indexed="10"/>
                </patternFill>
              </fill>
            </x14:dxf>
          </x14:cfRule>
          <xm:sqref>AN5</xm:sqref>
        </x14:conditionalFormatting>
        <x14:conditionalFormatting xmlns:xm="http://schemas.microsoft.com/office/excel/2006/main">
          <x14:cfRule type="expression" priority="6" stopIfTrue="1" id="{5C48EF2A-07BF-DD44-9A75-9FA2012AA347}">
            <xm:f>(60 * HOUR(AO5) + MINUTE(AO5)) &gt;(60 * HOUR(INDEX('1.Locations'!$G$2:$G$16,AK5 + 1)) +MINUTE(INDEX('1.Locations'!$G$2:$G$16,AK5 + 1)))</xm:f>
            <x14:dxf>
              <fill>
                <patternFill>
                  <bgColor indexed="10"/>
                </patternFill>
              </fill>
            </x14:dxf>
          </x14:cfRule>
          <xm:sqref>AO5</xm:sqref>
        </x14:conditionalFormatting>
        <x14:conditionalFormatting xmlns:xm="http://schemas.microsoft.com/office/excel/2006/main">
          <x14:cfRule type="cellIs" priority="4" stopIfTrue="1" operator="lessThan" id="{77D1D372-85CC-C74F-9C92-839EF34EF742}">
            <xm:f>INDEX('1.Locations'!$F$2:$F$16,AK6 + 1)</xm:f>
            <x14:dxf>
              <fill>
                <patternFill patternType="solid">
                  <bgColor indexed="43"/>
                </patternFill>
              </fill>
            </x14:dxf>
          </x14:cfRule>
          <x14:cfRule type="expression" priority="7" stopIfTrue="1" id="{4D369B07-03C2-7543-977D-3075EECF4E86}">
            <xm:f>(60 * HOUR(AN6) + MINUTE(AN6)) &gt;(60 * HOUR(INDEX('1.Locations'!$G$2:$G$16,AK6 + 1)) +MINUTE(INDEX('1.Locations'!$G$2:$G$16,AK6 + 1)))</xm:f>
            <x14:dxf>
              <fill>
                <patternFill>
                  <bgColor indexed="10"/>
                </patternFill>
              </fill>
            </x14:dxf>
          </x14:cfRule>
          <xm:sqref>AN6</xm:sqref>
        </x14:conditionalFormatting>
        <x14:conditionalFormatting xmlns:xm="http://schemas.microsoft.com/office/excel/2006/main">
          <x14:cfRule type="expression" priority="8" stopIfTrue="1" id="{BAA56612-285D-624B-910B-64B7297FC985}">
            <xm:f>(60 * HOUR(AO6) + MINUTE(AO6)) &gt;(60 * HOUR(INDEX('1.Locations'!$G$2:$G$16,AK6 + 1)) +MINUTE(INDEX('1.Locations'!$G$2:$G$16,AK6 + 1)))</xm:f>
            <x14:dxf>
              <fill>
                <patternFill>
                  <bgColor indexed="10"/>
                </patternFill>
              </fill>
            </x14:dxf>
          </x14:cfRule>
          <xm:sqref>AO6</xm:sqref>
        </x14:conditionalFormatting>
        <x14:conditionalFormatting xmlns:xm="http://schemas.microsoft.com/office/excel/2006/main">
          <x14:cfRule type="cellIs" priority="9" stopIfTrue="1" operator="lessThan" id="{BE5736FD-3FE7-1847-BB5F-DDC85E24D5B4}">
            <xm:f>INDEX('1.Locations'!$F$2:$F$16,AK7 + 1)</xm:f>
            <x14:dxf>
              <fill>
                <patternFill>
                  <bgColor indexed="52"/>
                </patternFill>
              </fill>
            </x14:dxf>
          </x14:cfRule>
          <x14:cfRule type="expression" priority="10" stopIfTrue="1" id="{10277BC8-1FDE-A544-A652-19C3BC440577}">
            <xm:f>(60 * HOUR(AN7) + MINUTE(AN7)) &gt;(60 * HOUR(INDEX('1.Locations'!$G$2:$G$16,AK7 + 1)) +MINUTE(INDEX('1.Locations'!$G$2:$G$16,AK7 + 1)))</xm:f>
            <x14:dxf>
              <fill>
                <patternFill>
                  <bgColor indexed="10"/>
                </patternFill>
              </fill>
            </x14:dxf>
          </x14:cfRule>
          <xm:sqref>AN7</xm:sqref>
        </x14:conditionalFormatting>
        <x14:conditionalFormatting xmlns:xm="http://schemas.microsoft.com/office/excel/2006/main">
          <x14:cfRule type="expression" priority="11" stopIfTrue="1" id="{9102F14B-F902-FC4C-93EF-68ECA49C2626}">
            <xm:f>(60 * HOUR(AO7) + MINUTE(AO7)) &gt;(60 * HOUR(INDEX('1.Locations'!$G$2:$G$16,AK7 + 1)) +MINUTE(INDEX('1.Locations'!$G$2:$G$16,AK7 + 1)))</xm:f>
            <x14:dxf>
              <fill>
                <patternFill>
                  <bgColor indexed="10"/>
                </patternFill>
              </fill>
            </x14:dxf>
          </x14:cfRule>
          <xm:sqref>AO7</xm:sqref>
        </x14:conditionalFormatting>
        <x14:conditionalFormatting xmlns:xm="http://schemas.microsoft.com/office/excel/2006/main">
          <x14:cfRule type="cellIs" priority="12" stopIfTrue="1" operator="lessThan" id="{83875186-23CC-C54A-B45B-29C3AE759A90}">
            <xm:f>INDEX('1.Locations'!$F$2:$F$16,AK8 + 1)</xm:f>
            <x14:dxf>
              <fill>
                <patternFill>
                  <bgColor indexed="52"/>
                </patternFill>
              </fill>
            </x14:dxf>
          </x14:cfRule>
          <x14:cfRule type="expression" priority="13" stopIfTrue="1" id="{68BD6A3B-26B1-3642-BD54-527057B6EB88}">
            <xm:f>(60 * HOUR(AN8) + MINUTE(AN8)) &gt;(60 * HOUR(INDEX('1.Locations'!$G$2:$G$16,AK8 + 1)) +MINUTE(INDEX('1.Locations'!$G$2:$G$16,AK8 + 1)))</xm:f>
            <x14:dxf>
              <fill>
                <patternFill>
                  <bgColor indexed="10"/>
                </patternFill>
              </fill>
            </x14:dxf>
          </x14:cfRule>
          <xm:sqref>AN8</xm:sqref>
        </x14:conditionalFormatting>
        <x14:conditionalFormatting xmlns:xm="http://schemas.microsoft.com/office/excel/2006/main">
          <x14:cfRule type="expression" priority="14" stopIfTrue="1" id="{75A38142-C0AB-9A43-9E74-6570AA14B306}">
            <xm:f>(60 * HOUR(AO8) + MINUTE(AO8)) &gt;(60 * HOUR(INDEX('1.Locations'!$G$2:$G$16,AK8 + 1)) +MINUTE(INDEX('1.Locations'!$G$2:$G$16,AK8 + 1)))</xm:f>
            <x14:dxf>
              <fill>
                <patternFill>
                  <bgColor indexed="10"/>
                </patternFill>
              </fill>
            </x14:dxf>
          </x14:cfRule>
          <xm:sqref>AO8</xm:sqref>
        </x14:conditionalFormatting>
        <x14:conditionalFormatting xmlns:xm="http://schemas.microsoft.com/office/excel/2006/main">
          <x14:cfRule type="cellIs" priority="15" stopIfTrue="1" operator="lessThan" id="{D8679BAA-6A63-9F44-8B92-B9C0DA522224}">
            <xm:f>INDEX('1.Locations'!$F$2:$F$16,AK9 + 1)</xm:f>
            <x14:dxf>
              <fill>
                <patternFill>
                  <bgColor indexed="52"/>
                </patternFill>
              </fill>
            </x14:dxf>
          </x14:cfRule>
          <x14:cfRule type="expression" priority="16" stopIfTrue="1" id="{54687B3B-CB80-A442-BBF7-11D97D3931C7}">
            <xm:f>(60 * HOUR(AN9) + MINUTE(AN9)) &gt;(60 * HOUR(INDEX('1.Locations'!$G$2:$G$16,AK9 + 1)) +MINUTE(INDEX('1.Locations'!$G$2:$G$16,AK9 + 1)))</xm:f>
            <x14:dxf>
              <fill>
                <patternFill>
                  <bgColor indexed="10"/>
                </patternFill>
              </fill>
            </x14:dxf>
          </x14:cfRule>
          <xm:sqref>AN9</xm:sqref>
        </x14:conditionalFormatting>
        <x14:conditionalFormatting xmlns:xm="http://schemas.microsoft.com/office/excel/2006/main">
          <x14:cfRule type="expression" priority="17" stopIfTrue="1" id="{9612C4AC-E2DD-EE41-8895-82232877AA14}">
            <xm:f>(60 * HOUR(AO9) + MINUTE(AO9)) &gt;(60 * HOUR(INDEX('1.Locations'!$G$2:$G$16,AK9 + 1)) +MINUTE(INDEX('1.Locations'!$G$2:$G$16,AK9 + 1)))</xm:f>
            <x14:dxf>
              <fill>
                <patternFill>
                  <bgColor indexed="10"/>
                </patternFill>
              </fill>
            </x14:dxf>
          </x14:cfRule>
          <xm:sqref>AO9</xm:sqref>
        </x14:conditionalFormatting>
        <x14:conditionalFormatting xmlns:xm="http://schemas.microsoft.com/office/excel/2006/main">
          <x14:cfRule type="cellIs" priority="18" stopIfTrue="1" operator="lessThan" id="{6B1653CA-89C0-794C-A789-650ED52B0715}">
            <xm:f>INDEX('1.Locations'!$F$2:$F$16,AK10 + 1)</xm:f>
            <x14:dxf>
              <fill>
                <patternFill>
                  <bgColor indexed="52"/>
                </patternFill>
              </fill>
            </x14:dxf>
          </x14:cfRule>
          <x14:cfRule type="expression" priority="19" stopIfTrue="1" id="{CA02EA2E-60AA-8E4F-ACA5-3CD7617A871A}">
            <xm:f>(60 * HOUR(AN10) + MINUTE(AN10)) &gt;(60 * HOUR(INDEX('1.Locations'!$G$2:$G$16,AK10 + 1)) +MINUTE(INDEX('1.Locations'!$G$2:$G$16,AK10 + 1)))</xm:f>
            <x14:dxf>
              <fill>
                <patternFill>
                  <bgColor indexed="10"/>
                </patternFill>
              </fill>
            </x14:dxf>
          </x14:cfRule>
          <xm:sqref>AN10</xm:sqref>
        </x14:conditionalFormatting>
        <x14:conditionalFormatting xmlns:xm="http://schemas.microsoft.com/office/excel/2006/main">
          <x14:cfRule type="expression" priority="20" stopIfTrue="1" id="{F9A43092-20AB-2A4A-84B8-866DB61BDB8E}">
            <xm:f>(60 * HOUR(AO10) + MINUTE(AO10)) &gt;(60 * HOUR(INDEX('1.Locations'!$G$2:$G$16,AK10 + 1)) +MINUTE(INDEX('1.Locations'!$G$2:$G$16,AK10 + 1)))</xm:f>
            <x14:dxf>
              <fill>
                <patternFill>
                  <bgColor indexed="10"/>
                </patternFill>
              </fill>
            </x14:dxf>
          </x14:cfRule>
          <xm:sqref>AO10</xm:sqref>
        </x14:conditionalFormatting>
        <x14:conditionalFormatting xmlns:xm="http://schemas.microsoft.com/office/excel/2006/main">
          <x14:cfRule type="cellIs" priority="21" stopIfTrue="1" operator="lessThan" id="{27BB2C9E-A804-2941-81DB-BD78DFDB178A}">
            <xm:f>INDEX('1.Locations'!$F$2:$F$16,AK11 + 1)</xm:f>
            <x14:dxf>
              <fill>
                <patternFill>
                  <bgColor indexed="52"/>
                </patternFill>
              </fill>
            </x14:dxf>
          </x14:cfRule>
          <x14:cfRule type="expression" priority="22" stopIfTrue="1" id="{63FD1E6F-C0E5-BD44-98DD-15771E66B912}">
            <xm:f>(60 * HOUR(AN11) + MINUTE(AN11)) &gt;(60 * HOUR(INDEX('1.Locations'!$G$2:$G$16,AK11 + 1)) +MINUTE(INDEX('1.Locations'!$G$2:$G$16,AK11 + 1)))</xm:f>
            <x14:dxf>
              <fill>
                <patternFill>
                  <bgColor indexed="10"/>
                </patternFill>
              </fill>
            </x14:dxf>
          </x14:cfRule>
          <xm:sqref>AN11</xm:sqref>
        </x14:conditionalFormatting>
        <x14:conditionalFormatting xmlns:xm="http://schemas.microsoft.com/office/excel/2006/main">
          <x14:cfRule type="expression" priority="23" stopIfTrue="1" id="{C57878A1-F3BF-5740-889B-C9A94F96D7DC}">
            <xm:f>(60 * HOUR(AO11) + MINUTE(AO11)) &gt;(60 * HOUR(INDEX('1.Locations'!$G$2:$G$16,AK11 + 1)) +MINUTE(INDEX('1.Locations'!$G$2:$G$16,AK11 + 1)))</xm:f>
            <x14:dxf>
              <fill>
                <patternFill>
                  <bgColor indexed="10"/>
                </patternFill>
              </fill>
            </x14:dxf>
          </x14:cfRule>
          <xm:sqref>AO11</xm:sqref>
        </x14:conditionalFormatting>
        <x14:conditionalFormatting xmlns:xm="http://schemas.microsoft.com/office/excel/2006/main">
          <x14:cfRule type="cellIs" priority="24" stopIfTrue="1" operator="lessThan" id="{5998FEB5-03D5-314A-B7D5-F706975ADCC0}">
            <xm:f>INDEX('1.Locations'!$F$2:$F$16,AK12 + 1)</xm:f>
            <x14:dxf>
              <fill>
                <patternFill>
                  <bgColor indexed="52"/>
                </patternFill>
              </fill>
            </x14:dxf>
          </x14:cfRule>
          <x14:cfRule type="expression" priority="25" stopIfTrue="1" id="{0614BE50-145F-9742-A42D-51AE925ABB7C}">
            <xm:f>(60 * HOUR(AN12) + MINUTE(AN12)) &gt;(60 * HOUR(INDEX('1.Locations'!$G$2:$G$16,AK12 + 1)) +MINUTE(INDEX('1.Locations'!$G$2:$G$16,AK12 + 1)))</xm:f>
            <x14:dxf>
              <fill>
                <patternFill>
                  <bgColor indexed="10"/>
                </patternFill>
              </fill>
            </x14:dxf>
          </x14:cfRule>
          <xm:sqref>AN12</xm:sqref>
        </x14:conditionalFormatting>
        <x14:conditionalFormatting xmlns:xm="http://schemas.microsoft.com/office/excel/2006/main">
          <x14:cfRule type="expression" priority="26" stopIfTrue="1" id="{DBF694C9-6E43-9548-A946-CA78D9A9A0E6}">
            <xm:f>(60 * HOUR(AO12) + MINUTE(AO12)) &gt;(60 * HOUR(INDEX('1.Locations'!$G$2:$G$16,AK12 + 1)) +MINUTE(INDEX('1.Locations'!$G$2:$G$16,AK12 + 1)))</xm:f>
            <x14:dxf>
              <fill>
                <patternFill>
                  <bgColor indexed="10"/>
                </patternFill>
              </fill>
            </x14:dxf>
          </x14:cfRule>
          <xm:sqref>AO12</xm:sqref>
        </x14:conditionalFormatting>
        <x14:conditionalFormatting xmlns:xm="http://schemas.microsoft.com/office/excel/2006/main">
          <x14:cfRule type="cellIs" priority="27" stopIfTrue="1" operator="lessThan" id="{269CF91C-4ED8-B44C-A12E-A0FEE570DCF0}">
            <xm:f>INDEX('1.Locations'!$F$2:$F$16,AK13 + 1)</xm:f>
            <x14:dxf>
              <fill>
                <patternFill>
                  <bgColor indexed="52"/>
                </patternFill>
              </fill>
            </x14:dxf>
          </x14:cfRule>
          <x14:cfRule type="expression" priority="28" stopIfTrue="1" id="{FAA70297-AC08-CA4C-84C8-0899FA17CC38}">
            <xm:f>(60 * HOUR(AN13) + MINUTE(AN13)) &gt;(60 * HOUR(INDEX('1.Locations'!$G$2:$G$16,AK13 + 1)) +MINUTE(INDEX('1.Locations'!$G$2:$G$16,AK13 + 1)))</xm:f>
            <x14:dxf>
              <fill>
                <patternFill>
                  <bgColor indexed="10"/>
                </patternFill>
              </fill>
            </x14:dxf>
          </x14:cfRule>
          <xm:sqref>AN13</xm:sqref>
        </x14:conditionalFormatting>
        <x14:conditionalFormatting xmlns:xm="http://schemas.microsoft.com/office/excel/2006/main">
          <x14:cfRule type="expression" priority="29" stopIfTrue="1" id="{4A70AA76-AECA-3048-84DB-E0F80C2E76D6}">
            <xm:f>(60 * HOUR(AO13) + MINUTE(AO13)) &gt;(60 * HOUR(INDEX('1.Locations'!$G$2:$G$16,AK13 + 1)) +MINUTE(INDEX('1.Locations'!$G$2:$G$16,AK13 + 1)))</xm:f>
            <x14:dxf>
              <fill>
                <patternFill>
                  <bgColor indexed="10"/>
                </patternFill>
              </fill>
            </x14:dxf>
          </x14:cfRule>
          <xm:sqref>AO13</xm:sqref>
        </x14:conditionalFormatting>
        <x14:conditionalFormatting xmlns:xm="http://schemas.microsoft.com/office/excel/2006/main">
          <x14:cfRule type="cellIs" priority="30" stopIfTrue="1" operator="lessThan" id="{83521BBA-C572-064E-94AB-6D014361AF45}">
            <xm:f>INDEX('1.Locations'!$F$2:$F$16,AK14 + 1)</xm:f>
            <x14:dxf>
              <fill>
                <patternFill>
                  <bgColor indexed="52"/>
                </patternFill>
              </fill>
            </x14:dxf>
          </x14:cfRule>
          <x14:cfRule type="expression" priority="31" stopIfTrue="1" id="{ACE704D6-D94F-144B-85B3-3D16E4ABB41F}">
            <xm:f>(60 * HOUR(AN14) + MINUTE(AN14)) &gt;(60 * HOUR(INDEX('1.Locations'!$G$2:$G$16,AK14 + 1)) +MINUTE(INDEX('1.Locations'!$G$2:$G$16,AK14 + 1)))</xm:f>
            <x14:dxf>
              <fill>
                <patternFill>
                  <bgColor indexed="10"/>
                </patternFill>
              </fill>
            </x14:dxf>
          </x14:cfRule>
          <xm:sqref>AN14</xm:sqref>
        </x14:conditionalFormatting>
        <x14:conditionalFormatting xmlns:xm="http://schemas.microsoft.com/office/excel/2006/main">
          <x14:cfRule type="expression" priority="32" stopIfTrue="1" id="{814AD510-9950-1D4D-9CF0-C5A965A26734}">
            <xm:f>(60 * HOUR(AO14) + MINUTE(AO14)) &gt;(60 * HOUR(INDEX('1.Locations'!$G$2:$G$16,AK14 + 1)) +MINUTE(INDEX('1.Locations'!$G$2:$G$16,AK14 + 1)))</xm:f>
            <x14:dxf>
              <fill>
                <patternFill>
                  <bgColor indexed="10"/>
                </patternFill>
              </fill>
            </x14:dxf>
          </x14:cfRule>
          <xm:sqref>AO14</xm:sqref>
        </x14:conditionalFormatting>
        <x14:conditionalFormatting xmlns:xm="http://schemas.microsoft.com/office/excel/2006/main">
          <x14:cfRule type="cellIs" priority="33" stopIfTrue="1" operator="lessThan" id="{FE4354D7-EE75-E74A-8B07-E8D8C4889BC0}">
            <xm:f>INDEX('1.Locations'!$F$2:$F$16,AK15 + 1)</xm:f>
            <x14:dxf>
              <fill>
                <patternFill>
                  <bgColor indexed="52"/>
                </patternFill>
              </fill>
            </x14:dxf>
          </x14:cfRule>
          <xm:sqref>AN15</xm:sqref>
        </x14:conditionalFormatting>
        <x14:conditionalFormatting xmlns:xm="http://schemas.microsoft.com/office/excel/2006/main">
          <x14:cfRule type="expression" priority="34" stopIfTrue="1" id="{1C998ABE-963F-654F-84FC-0A7F816327CB}">
            <xm:f>(60 * HOUR(AN15) + MINUTE(AN15)) &gt;(60 * HOUR(INDEX('1.Locations'!$G$2:$G$16,AK15 + 1)) +MINUTE(INDEX('1.Locations'!$G$2:$G$16,AK15 + 1)))</xm:f>
            <x14:dxf>
              <fill>
                <patternFill>
                  <bgColor indexed="10"/>
                </patternFill>
              </fill>
            </x14:dxf>
          </x14:cfRule>
          <xm:sqref>AN15</xm:sqref>
        </x14:conditionalFormatting>
        <x14:conditionalFormatting xmlns:xm="http://schemas.microsoft.com/office/excel/2006/main">
          <x14:cfRule type="expression" priority="35" stopIfTrue="1" id="{FA117E6A-A90A-914B-9A82-C7239D1AFB34}">
            <xm:f>(60 * HOUR(AO15) + MINUTE(AO15)) &gt;(60 * HOUR(INDEX('1.Locations'!$G$2:$G$16,AK15 + 1)) +MINUTE(INDEX('1.Locations'!$G$2:$G$16,AK15 + 1)))</xm:f>
            <x14:dxf>
              <fill>
                <patternFill>
                  <bgColor indexed="10"/>
                </patternFill>
              </fill>
            </x14:dxf>
          </x14:cfRule>
          <xm:sqref>AO15</xm:sqref>
        </x14:conditionalFormatting>
        <x14:conditionalFormatting xmlns:xm="http://schemas.microsoft.com/office/excel/2006/main">
          <x14:cfRule type="cellIs" priority="36" stopIfTrue="1" operator="lessThan" id="{72829BD5-BC66-DB46-8232-DD739578B343}">
            <xm:f>INDEX('1.Locations'!$F$2:$F$16,AK16 + 1)</xm:f>
            <x14:dxf>
              <fill>
                <patternFill>
                  <bgColor indexed="52"/>
                </patternFill>
              </fill>
            </x14:dxf>
          </x14:cfRule>
          <xm:sqref>AN16</xm:sqref>
        </x14:conditionalFormatting>
        <x14:conditionalFormatting xmlns:xm="http://schemas.microsoft.com/office/excel/2006/main">
          <x14:cfRule type="expression" priority="37" stopIfTrue="1" id="{7B90FE34-B588-E249-8FC5-C6AF762A96FB}">
            <xm:f>(60 * HOUR(AN16) + MINUTE(AN16)) &gt;(60 * HOUR(INDEX('1.Locations'!$G$2:$G$16,AK16 + 1)) +MINUTE(INDEX('1.Locations'!$G$2:$G$16,AK16 + 1)))</xm:f>
            <x14:dxf>
              <fill>
                <patternFill>
                  <bgColor indexed="10"/>
                </patternFill>
              </fill>
            </x14:dxf>
          </x14:cfRule>
          <xm:sqref>AN16</xm:sqref>
        </x14:conditionalFormatting>
        <x14:conditionalFormatting xmlns:xm="http://schemas.microsoft.com/office/excel/2006/main">
          <x14:cfRule type="expression" priority="38" stopIfTrue="1" id="{DD088A2A-5A51-0B4A-A912-C29D9F1A463E}">
            <xm:f>(60 * HOUR(AO16) + MINUTE(AO16)) &gt;(60 * HOUR(INDEX('1.Locations'!$G$2:$G$16,AK16 + 1)) +MINUTE(INDEX('1.Locations'!$G$2:$G$16,AK16 + 1)))</xm:f>
            <x14:dxf>
              <fill>
                <patternFill>
                  <bgColor indexed="10"/>
                </patternFill>
              </fill>
            </x14:dxf>
          </x14:cfRule>
          <xm:sqref>AO16</xm:sqref>
        </x14:conditionalFormatting>
        <x14:conditionalFormatting xmlns:xm="http://schemas.microsoft.com/office/excel/2006/main">
          <x14:cfRule type="cellIs" priority="39" stopIfTrue="1" operator="lessThan" id="{B5118589-1E46-194C-A997-077DFDAE3306}">
            <xm:f>INDEX('1.Locations'!$F$2:$F$16,AK17 + 1)</xm:f>
            <x14:dxf>
              <fill>
                <patternFill>
                  <bgColor indexed="52"/>
                </patternFill>
              </fill>
            </x14:dxf>
          </x14:cfRule>
          <xm:sqref>AN17</xm:sqref>
        </x14:conditionalFormatting>
        <x14:conditionalFormatting xmlns:xm="http://schemas.microsoft.com/office/excel/2006/main">
          <x14:cfRule type="expression" priority="40" stopIfTrue="1" id="{72A3D3CF-B54C-FA4C-8CCC-96F0C7CBAD5E}">
            <xm:f>(60 * HOUR(AN17) + MINUTE(AN17)) &gt;(60 * HOUR(INDEX('1.Locations'!$G$2:$G$16,AK17 + 1)) +MINUTE(INDEX('1.Locations'!$G$2:$G$16,AK17 + 1)))</xm:f>
            <x14:dxf>
              <fill>
                <patternFill>
                  <bgColor indexed="10"/>
                </patternFill>
              </fill>
            </x14:dxf>
          </x14:cfRule>
          <xm:sqref>AN17</xm:sqref>
        </x14:conditionalFormatting>
        <x14:conditionalFormatting xmlns:xm="http://schemas.microsoft.com/office/excel/2006/main">
          <x14:cfRule type="expression" priority="41" stopIfTrue="1" id="{8D268CB9-C7DF-6E42-8DFA-8E519D7D2F37}">
            <xm:f>(60 * HOUR(AO17) + MINUTE(AO17)) &gt;(60 * HOUR(INDEX('1.Locations'!$G$2:$G$16,AK17 + 1)) +MINUTE(INDEX('1.Locations'!$G$2:$G$16,AK17 + 1)))</xm:f>
            <x14:dxf>
              <fill>
                <patternFill>
                  <bgColor indexed="10"/>
                </patternFill>
              </fill>
            </x14:dxf>
          </x14:cfRule>
          <xm:sqref>AO17</xm:sqref>
        </x14:conditionalFormatting>
        <x14:conditionalFormatting xmlns:xm="http://schemas.microsoft.com/office/excel/2006/main">
          <x14:cfRule type="cellIs" priority="42" stopIfTrue="1" operator="lessThan" id="{99C035A8-0A11-074D-8541-83C6C10A3300}">
            <xm:f>INDEX('1.Locations'!$F$2:$F$16,AK18 + 1)</xm:f>
            <x14:dxf>
              <fill>
                <patternFill>
                  <bgColor indexed="52"/>
                </patternFill>
              </fill>
            </x14:dxf>
          </x14:cfRule>
          <xm:sqref>AN18</xm:sqref>
        </x14:conditionalFormatting>
        <x14:conditionalFormatting xmlns:xm="http://schemas.microsoft.com/office/excel/2006/main">
          <x14:cfRule type="expression" priority="43" stopIfTrue="1" id="{7FC71C2B-1AA9-7447-A8D6-78E7BF8F6911}">
            <xm:f>(60 * HOUR(AN18) + MINUTE(AN18)) &gt;(60 * HOUR(INDEX('1.Locations'!$G$2:$G$16,AK18 + 1)) +MINUTE(INDEX('1.Locations'!$G$2:$G$16,AK18 + 1)))</xm:f>
            <x14:dxf>
              <fill>
                <patternFill>
                  <bgColor indexed="10"/>
                </patternFill>
              </fill>
            </x14:dxf>
          </x14:cfRule>
          <xm:sqref>AN18</xm:sqref>
        </x14:conditionalFormatting>
        <x14:conditionalFormatting xmlns:xm="http://schemas.microsoft.com/office/excel/2006/main">
          <x14:cfRule type="expression" priority="44" stopIfTrue="1" id="{E5547E70-79A3-8B4E-9323-4553F8FE13DC}">
            <xm:f>(60 * HOUR(AO18) + MINUTE(AO18)) &gt;(60 * HOUR(INDEX('1.Locations'!$G$2:$G$16,AK18 + 1)) +MINUTE(INDEX('1.Locations'!$G$2:$G$16,AK18 + 1)))</xm:f>
            <x14:dxf>
              <fill>
                <patternFill>
                  <bgColor indexed="10"/>
                </patternFill>
              </fill>
            </x14:dxf>
          </x14:cfRule>
          <xm:sqref>AO18</xm:sqref>
        </x14:conditionalFormatting>
        <x14:conditionalFormatting xmlns:xm="http://schemas.microsoft.com/office/excel/2006/main">
          <x14:cfRule type="cellIs" priority="45" stopIfTrue="1" operator="lessThan" id="{2B626A97-245E-D64C-80D5-279D0B38B9FB}">
            <xm:f>INDEX('1.Locations'!$F$2:$F$16,AK19 + 1)</xm:f>
            <x14:dxf>
              <fill>
                <patternFill>
                  <bgColor indexed="52"/>
                </patternFill>
              </fill>
            </x14:dxf>
          </x14:cfRule>
          <xm:sqref>AN19</xm:sqref>
        </x14:conditionalFormatting>
        <x14:conditionalFormatting xmlns:xm="http://schemas.microsoft.com/office/excel/2006/main">
          <x14:cfRule type="expression" priority="46" stopIfTrue="1" id="{DBCC8B66-368C-484E-AD29-427B25B0B538}">
            <xm:f>(60 * HOUR(AN19) + MINUTE(AN19)) &gt;(60 * HOUR(INDEX('1.Locations'!$G$2:$G$16,AK19 + 1)) +MINUTE(INDEX('1.Locations'!$G$2:$G$16,AK19 + 1)))</xm:f>
            <x14:dxf>
              <fill>
                <patternFill>
                  <bgColor indexed="10"/>
                </patternFill>
              </fill>
            </x14:dxf>
          </x14:cfRule>
          <xm:sqref>AN19</xm:sqref>
        </x14:conditionalFormatting>
        <x14:conditionalFormatting xmlns:xm="http://schemas.microsoft.com/office/excel/2006/main">
          <x14:cfRule type="expression" priority="47" stopIfTrue="1" id="{4D2CCED1-4FB4-4F41-83B6-E5DC395B5E1B}">
            <xm:f>(60 * HOUR(AO19) + MINUTE(AO19)) &gt;(60 * HOUR(INDEX('1.Locations'!$G$2:$G$16,AK19 + 1)) +MINUTE(INDEX('1.Locations'!$G$2:$G$16,AK19 + 1)))</xm:f>
            <x14:dxf>
              <fill>
                <patternFill>
                  <bgColor indexed="10"/>
                </patternFill>
              </fill>
            </x14:dxf>
          </x14:cfRule>
          <xm:sqref>AO19</xm:sqref>
        </x14:conditionalFormatting>
        <x14:conditionalFormatting xmlns:xm="http://schemas.microsoft.com/office/excel/2006/main">
          <x14:cfRule type="cellIs" priority="48" stopIfTrue="1" operator="lessThan" id="{A72FE2C9-2E7E-704A-BA85-EAA1013A7D4D}">
            <xm:f>INDEX('1.Locations'!$F$2:$F$16,AK20 + 1)</xm:f>
            <x14:dxf>
              <fill>
                <patternFill>
                  <bgColor indexed="52"/>
                </patternFill>
              </fill>
            </x14:dxf>
          </x14:cfRule>
          <xm:sqref>AN20</xm:sqref>
        </x14:conditionalFormatting>
        <x14:conditionalFormatting xmlns:xm="http://schemas.microsoft.com/office/excel/2006/main">
          <x14:cfRule type="expression" priority="49" stopIfTrue="1" id="{12ADBACB-53E1-A948-9C30-356AB01829E8}">
            <xm:f>(60 * HOUR(AN20) + MINUTE(AN20)) &gt;(60 * HOUR(INDEX('1.Locations'!$G$2:$G$16,AK20 + 1)) +MINUTE(INDEX('1.Locations'!$G$2:$G$16,AK20 + 1)))</xm:f>
            <x14:dxf>
              <fill>
                <patternFill>
                  <bgColor indexed="10"/>
                </patternFill>
              </fill>
            </x14:dxf>
          </x14:cfRule>
          <xm:sqref>AN20</xm:sqref>
        </x14:conditionalFormatting>
        <x14:conditionalFormatting xmlns:xm="http://schemas.microsoft.com/office/excel/2006/main">
          <x14:cfRule type="expression" priority="50" stopIfTrue="1" id="{467B95FE-80C1-2647-AADD-E074FBE15143}">
            <xm:f>(60 * HOUR(AO20) + MINUTE(AO20)) &gt;(60 * HOUR(INDEX('1.Locations'!$G$2:$G$16,AK20 + 1)) +MINUTE(INDEX('1.Locations'!$G$2:$G$16,AK20 + 1)))</xm:f>
            <x14:dxf>
              <fill>
                <patternFill>
                  <bgColor indexed="10"/>
                </patternFill>
              </fill>
            </x14:dxf>
          </x14:cfRule>
          <xm:sqref>AO20</xm:sqref>
        </x14:conditionalFormatting>
        <x14:conditionalFormatting xmlns:xm="http://schemas.microsoft.com/office/excel/2006/main">
          <x14:cfRule type="cellIs" priority="52" stopIfTrue="1" operator="greaterThan" id="{4AE4F0DB-800B-0942-84E7-098C6C61188F}">
            <xm:f>'3.Vehicles'!$G$2</xm:f>
            <x14:dxf/>
          </x14:cfRule>
          <xm:sqref>AN6:AN20</xm:sqref>
        </x14:conditionalFormatting>
        <x14:conditionalFormatting xmlns:xm="http://schemas.microsoft.com/office/excel/2006/main">
          <x14:cfRule type="cellIs" priority="53" stopIfTrue="1" operator="greaterThan" id="{D10AE514-3755-8346-85DF-EC9C56D54AF7}">
            <xm:f>'3.Vehicles'!$C$2</xm:f>
            <x14:dxf>
              <fill>
                <patternFill>
                  <bgColor indexed="10"/>
                </patternFill>
              </fill>
            </x14:dxf>
          </x14:cfRule>
          <xm:sqref>AV5:AV20</xm:sqref>
        </x14:conditionalFormatting>
        <x14:conditionalFormatting xmlns:xm="http://schemas.microsoft.com/office/excel/2006/main">
          <x14:cfRule type="cellIs" priority="55" stopIfTrue="1" operator="greaterThan" id="{23F7E13C-8102-6E46-99CE-9DAE8B891A6A}">
            <xm:f>'3.Vehicles'!$I$2</xm:f>
            <x14:dxf>
              <fill>
                <patternFill>
                  <bgColor indexed="10"/>
                </patternFill>
              </fill>
            </x14:dxf>
          </x14:cfRule>
          <xm:sqref>AM6:AM20</xm:sqref>
        </x14:conditionalFormatting>
        <x14:conditionalFormatting xmlns:xm="http://schemas.microsoft.com/office/excel/2006/main">
          <x14:cfRule type="cellIs" priority="56" stopIfTrue="1" operator="greaterThan" id="{465DF443-0272-9445-B1C1-0B7D486FDC57}">
            <xm:f>'3.Vehicles'!$J$2</xm:f>
            <x14:dxf>
              <fill>
                <patternFill>
                  <bgColor indexed="10"/>
                </patternFill>
              </fill>
            </x14:dxf>
          </x14:cfRule>
          <xm:sqref>AP6:AP20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Warning" error="Please select a value from the list available in the selected cell." xr:uid="{0AC67A31-14F6-D244-8816-B6553EF37532}">
          <x14:formula1>
            <xm:f>'1.Locations'!$B$2:$B$17</xm:f>
          </x14:formula1>
          <xm:sqref>B6:B20 S6:S20 AJ6:AJ20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D78D3-8913-EF45-94E1-E9BF137BFC8B}">
  <dimension ref="A1:X97"/>
  <sheetViews>
    <sheetView tabSelected="1" topLeftCell="A11" zoomScale="186" zoomScaleNormal="186" workbookViewId="0">
      <selection activeCell="J13" sqref="J13"/>
    </sheetView>
  </sheetViews>
  <sheetFormatPr baseColWidth="10" defaultRowHeight="15" x14ac:dyDescent="0.2"/>
  <cols>
    <col min="15" max="24" width="0" hidden="1" customWidth="1"/>
  </cols>
  <sheetData>
    <row r="1" spans="1:24" x14ac:dyDescent="0.2">
      <c r="A1" s="19" t="s">
        <v>4057</v>
      </c>
      <c r="B1" s="17" t="s">
        <v>4305</v>
      </c>
      <c r="O1" t="str">
        <f>'4.Solution'!B3</f>
        <v>V1</v>
      </c>
      <c r="R1" t="str">
        <f>'4.Solution'!S3</f>
        <v>V2</v>
      </c>
      <c r="U1" t="str">
        <f>'4.Solution'!AJ3</f>
        <v>V3</v>
      </c>
      <c r="X1" t="s">
        <v>4044</v>
      </c>
    </row>
    <row r="2" spans="1:24" x14ac:dyDescent="0.2">
      <c r="O2">
        <f>'4.Solution'!C5</f>
        <v>0</v>
      </c>
      <c r="P2">
        <f>IFERROR(IF(ISNUMBER(O2),INDEX('1.Locations'!$D$2:$D$16,O2 + 1),NA()),NA())</f>
        <v>37.764751264890002</v>
      </c>
      <c r="Q2">
        <f>IFERROR(IF(ISNUMBER(O2),INDEX('1.Locations'!$E$2:$E$16,O2 + 1),NA()),NA())</f>
        <v>128.901215118675</v>
      </c>
      <c r="R2">
        <f>'4.Solution'!T5</f>
        <v>0</v>
      </c>
      <c r="S2">
        <f>IFERROR(IF(ISNUMBER(R2),INDEX('1.Locations'!$D$2:$D$16,R2 + 1),NA()),NA())</f>
        <v>37.764751264890002</v>
      </c>
      <c r="T2">
        <f>IFERROR(IF(ISNUMBER(R2),INDEX('1.Locations'!$E$2:$E$16,R2 + 1),NA()),NA())</f>
        <v>128.901215118675</v>
      </c>
      <c r="U2">
        <f>'4.Solution'!AK5</f>
        <v>0</v>
      </c>
      <c r="V2">
        <f>IFERROR(IF(ISNUMBER(U2),INDEX('1.Locations'!$D$2:$D$16,U2 + 1),NA()),NA())</f>
        <v>37.764751264890002</v>
      </c>
      <c r="W2">
        <f>IFERROR(IF(ISNUMBER(U2),INDEX('1.Locations'!$E$2:$E$16,U2 + 1),NA()),NA())</f>
        <v>128.901215118675</v>
      </c>
      <c r="X2" t="str">
        <f>'4.Solution'!B3</f>
        <v>V1</v>
      </c>
    </row>
    <row r="3" spans="1:24" x14ac:dyDescent="0.2">
      <c r="P3">
        <f>IF(AND(ISNUMBER(O2), ISNUMBER(O8)), INDEX('2.Distances'!E3:N227, (O2*15) + O8 + 1,1), NA())</f>
        <v>37.769030000000001</v>
      </c>
      <c r="Q3">
        <f>IF(AND(ISNUMBER(O2), ISNUMBER(O8)), INDEX('2.Distances'!E3:N227, (O2*15) + O8 + 1,2), NA())</f>
        <v>128.90548999999999</v>
      </c>
      <c r="S3" t="e">
        <f>IF(AND(ISNUMBER(R2), ISNUMBER(R8)), INDEX('2.Distances'!E3:N227, (R2*15) + R8 + 1,1), NA())</f>
        <v>#N/A</v>
      </c>
      <c r="T3" t="e">
        <f>IF(AND(ISNUMBER(R2), ISNUMBER(R8)), INDEX('2.Distances'!E3:N227, (R2*15) + R8 + 1,2), NA())</f>
        <v>#N/A</v>
      </c>
      <c r="V3" t="e">
        <f>IF(AND(ISNUMBER(U2), ISNUMBER(U8)), INDEX('2.Distances'!E3:N227, (U2*15) + U8 + 1,1), NA())</f>
        <v>#N/A</v>
      </c>
      <c r="W3" t="e">
        <f>IF(AND(ISNUMBER(U2), ISNUMBER(U8)), INDEX('2.Distances'!E3:N227, (U2*15) + U8 + 1,2), NA())</f>
        <v>#N/A</v>
      </c>
      <c r="X3" t="str">
        <f>'4.Solution'!S3</f>
        <v>V2</v>
      </c>
    </row>
    <row r="4" spans="1:24" x14ac:dyDescent="0.2">
      <c r="P4">
        <f>IF(AND(ISNUMBER(O2), ISNUMBER(O8)), INDEX('2.Distances'!E3:N227, (O2*15) + O8 + 1,3), NA())</f>
        <v>37.770789999999998</v>
      </c>
      <c r="Q4">
        <f>IF(AND(ISNUMBER(O2), ISNUMBER(O8)), INDEX('2.Distances'!E3:N227, (O2*15) + O8 + 1,4), NA())</f>
        <v>128.90072000000001</v>
      </c>
      <c r="S4" t="e">
        <f>IF(AND(ISNUMBER(R2), ISNUMBER(R8)), INDEX('2.Distances'!E3:N227, (R2*15) + R8 + 1,3), NA())</f>
        <v>#N/A</v>
      </c>
      <c r="T4" t="e">
        <f>IF(AND(ISNUMBER(R2), ISNUMBER(R8)), INDEX('2.Distances'!E3:N227, (R2*15) + R8 + 1,4), NA())</f>
        <v>#N/A</v>
      </c>
      <c r="V4" t="e">
        <f>IF(AND(ISNUMBER(U2), ISNUMBER(U8)), INDEX('2.Distances'!E3:N227, (U2*15) + U8 + 1,3), NA())</f>
        <v>#N/A</v>
      </c>
      <c r="W4" t="e">
        <f>IF(AND(ISNUMBER(U2), ISNUMBER(U8)), INDEX('2.Distances'!E3:N227, (U2*15) + U8 + 1,4), NA())</f>
        <v>#N/A</v>
      </c>
      <c r="X4" t="str">
        <f>'4.Solution'!AJ3</f>
        <v>V3</v>
      </c>
    </row>
    <row r="5" spans="1:24" x14ac:dyDescent="0.2">
      <c r="P5">
        <f>IF(AND(ISNUMBER(O2), ISNUMBER(O8)), INDEX('2.Distances'!E3:N227, (O2*15) + O8 + 1,5), NA())</f>
        <v>37.769979999999997</v>
      </c>
      <c r="Q5">
        <f>IF(AND(ISNUMBER(O2), ISNUMBER(O8)), INDEX('2.Distances'!E3:N227, (O2*15) + O8 + 1,6), NA())</f>
        <v>128.89657</v>
      </c>
      <c r="S5" t="e">
        <f>IF(AND(ISNUMBER(R2), ISNUMBER(R8)), INDEX('2.Distances'!E3:N227, (R2*15) + R8 + 1,5), NA())</f>
        <v>#N/A</v>
      </c>
      <c r="T5" t="e">
        <f>IF(AND(ISNUMBER(R2), ISNUMBER(R8)), INDEX('2.Distances'!E3:N227, (R2*15) + R8 + 1,6), NA())</f>
        <v>#N/A</v>
      </c>
      <c r="V5" t="e">
        <f>IF(AND(ISNUMBER(U2), ISNUMBER(U8)), INDEX('2.Distances'!E3:N227, (U2*15) + U8 + 1,5), NA())</f>
        <v>#N/A</v>
      </c>
      <c r="W5" t="e">
        <f>IF(AND(ISNUMBER(U2), ISNUMBER(U8)), INDEX('2.Distances'!E3:N227, (U2*15) + U8 + 1,6), NA())</f>
        <v>#N/A</v>
      </c>
    </row>
    <row r="6" spans="1:24" x14ac:dyDescent="0.2">
      <c r="P6">
        <f>IF(AND(ISNUMBER(O2), ISNUMBER(O8)), INDEX('2.Distances'!E3:N227, (O2*15) + O8 + 1,7), NA())</f>
        <v>37.770910000000001</v>
      </c>
      <c r="Q6">
        <f>IF(AND(ISNUMBER(O2), ISNUMBER(O8)), INDEX('2.Distances'!E3:N227, (O2*15) + O8 + 1,8), NA())</f>
        <v>128.89129</v>
      </c>
      <c r="S6" t="e">
        <f>IF(AND(ISNUMBER(R2), ISNUMBER(R8)), INDEX('2.Distances'!E3:N227, (R2*15) + R8 + 1,7), NA())</f>
        <v>#N/A</v>
      </c>
      <c r="T6" t="e">
        <f>IF(AND(ISNUMBER(R2), ISNUMBER(R8)), INDEX('2.Distances'!E3:N227, (R2*15) + R8 + 1,8), NA())</f>
        <v>#N/A</v>
      </c>
      <c r="V6" t="e">
        <f>IF(AND(ISNUMBER(U2), ISNUMBER(U8)), INDEX('2.Distances'!E3:N227, (U2*15) + U8 + 1,7), NA())</f>
        <v>#N/A</v>
      </c>
      <c r="W6" t="e">
        <f>IF(AND(ISNUMBER(U2), ISNUMBER(U8)), INDEX('2.Distances'!E3:N227, (U2*15) + U8 + 1,8), NA())</f>
        <v>#N/A</v>
      </c>
    </row>
    <row r="7" spans="1:24" x14ac:dyDescent="0.2">
      <c r="P7">
        <f>IF(AND(ISNUMBER(O2), ISNUMBER(O8)), INDEX('2.Distances'!E3:N227, (O2*15) + O8 + 1,9), NA())</f>
        <v>37.776980000000002</v>
      </c>
      <c r="Q7">
        <f>IF(AND(ISNUMBER(O2), ISNUMBER(O8)), INDEX('2.Distances'!E3:N227, (O2*15) + O8 + 1,10), NA())</f>
        <v>128.88641999999999</v>
      </c>
      <c r="S7" t="e">
        <f>IF(AND(ISNUMBER(R2), ISNUMBER(R8)), INDEX('2.Distances'!E3:N227, (R2*15) + R8 + 1,9), NA())</f>
        <v>#N/A</v>
      </c>
      <c r="T7" t="e">
        <f>IF(AND(ISNUMBER(R2), ISNUMBER(R8)), INDEX('2.Distances'!E3:N227, (R2*15) + R8 + 1,10), NA())</f>
        <v>#N/A</v>
      </c>
      <c r="V7" t="e">
        <f>IF(AND(ISNUMBER(U2), ISNUMBER(U8)), INDEX('2.Distances'!E3:N227, (U2*15) + U8 + 1,9), NA())</f>
        <v>#N/A</v>
      </c>
      <c r="W7" t="e">
        <f>IF(AND(ISNUMBER(U2), ISNUMBER(U8)), INDEX('2.Distances'!E3:N227, (U2*15) + U8 + 1,10), NA())</f>
        <v>#N/A</v>
      </c>
    </row>
    <row r="8" spans="1:24" x14ac:dyDescent="0.2">
      <c r="O8">
        <f>'4.Solution'!C6</f>
        <v>9</v>
      </c>
      <c r="P8">
        <f>IFERROR(IF(ISNUMBER(O8),INDEX('1.Locations'!$D$2:$D$16,O8 + 1),NA()),NA())</f>
        <v>37.779550453964099</v>
      </c>
      <c r="Q8">
        <f>IFERROR(IF(ISNUMBER(O8),INDEX('1.Locations'!$E$2:$E$16,O8 + 1),NA()),NA())</f>
        <v>128.880935334897</v>
      </c>
      <c r="R8" t="str">
        <f>'4.Solution'!T6</f>
        <v xml:space="preserve"> </v>
      </c>
      <c r="S8" t="e">
        <f>IFERROR(IF(ISNUMBER(R8),INDEX('1.Locations'!$D$2:$D$16,R8 + 1),NA()),NA())</f>
        <v>#N/A</v>
      </c>
      <c r="T8" t="e">
        <f>IFERROR(IF(ISNUMBER(R8),INDEX('1.Locations'!$E$2:$E$16,R8 + 1),NA()),NA())</f>
        <v>#N/A</v>
      </c>
      <c r="U8" t="str">
        <f>'4.Solution'!AK6</f>
        <v xml:space="preserve"> </v>
      </c>
      <c r="V8" t="e">
        <f>IFERROR(IF(ISNUMBER(U8),INDEX('1.Locations'!$D$2:$D$16,U8 + 1),NA()),NA())</f>
        <v>#N/A</v>
      </c>
      <c r="W8" t="e">
        <f>IFERROR(IF(ISNUMBER(U8),INDEX('1.Locations'!$E$2:$E$16,U8 + 1),NA()),NA())</f>
        <v>#N/A</v>
      </c>
    </row>
    <row r="9" spans="1:24" x14ac:dyDescent="0.2">
      <c r="P9">
        <f>IF(AND(ISNUMBER(O8), ISNUMBER(O14)), INDEX('2.Distances'!E3:N227, (O8*15) + O14 + 1,1), NA())</f>
        <v>37.780290000000001</v>
      </c>
      <c r="Q9">
        <f>IF(AND(ISNUMBER(O8), ISNUMBER(O14)), INDEX('2.Distances'!E3:N227, (O8*15) + O14 + 1,2), NA())</f>
        <v>128.88240999999999</v>
      </c>
      <c r="S9" t="e">
        <f>IF(AND(ISNUMBER(R8), ISNUMBER(R14)), INDEX('2.Distances'!E3:N227, (R8*15) + R14 + 1,1), NA())</f>
        <v>#N/A</v>
      </c>
      <c r="T9" t="e">
        <f>IF(AND(ISNUMBER(R8), ISNUMBER(R14)), INDEX('2.Distances'!E3:N227, (R8*15) + R14 + 1,2), NA())</f>
        <v>#N/A</v>
      </c>
      <c r="V9" t="e">
        <f>IF(AND(ISNUMBER(U8), ISNUMBER(U14)), INDEX('2.Distances'!E3:N227, (U8*15) + U14 + 1,1), NA())</f>
        <v>#N/A</v>
      </c>
      <c r="W9" t="e">
        <f>IF(AND(ISNUMBER(U8), ISNUMBER(U14)), INDEX('2.Distances'!E3:N227, (U8*15) + U14 + 1,2), NA())</f>
        <v>#N/A</v>
      </c>
    </row>
    <row r="10" spans="1:24" x14ac:dyDescent="0.2">
      <c r="P10">
        <f>IF(AND(ISNUMBER(O8), ISNUMBER(O14)), INDEX('2.Distances'!E3:N227, (O8*15) + O14 + 1,3), NA())</f>
        <v>37.782850000000003</v>
      </c>
      <c r="Q10">
        <f>IF(AND(ISNUMBER(O8), ISNUMBER(O14)), INDEX('2.Distances'!E3:N227, (O8*15) + O14 + 1,4), NA())</f>
        <v>128.87996999999999</v>
      </c>
      <c r="S10" t="e">
        <f>IF(AND(ISNUMBER(R8), ISNUMBER(R14)), INDEX('2.Distances'!E3:N227, (R8*15) + R14 + 1,3), NA())</f>
        <v>#N/A</v>
      </c>
      <c r="T10" t="e">
        <f>IF(AND(ISNUMBER(R8), ISNUMBER(R14)), INDEX('2.Distances'!E3:N227, (R8*15) + R14 + 1,4), NA())</f>
        <v>#N/A</v>
      </c>
      <c r="V10" t="e">
        <f>IF(AND(ISNUMBER(U8), ISNUMBER(U14)), INDEX('2.Distances'!E3:N227, (U8*15) + U14 + 1,3), NA())</f>
        <v>#N/A</v>
      </c>
      <c r="W10" t="e">
        <f>IF(AND(ISNUMBER(U8), ISNUMBER(U14)), INDEX('2.Distances'!E3:N227, (U8*15) + U14 + 1,4), NA())</f>
        <v>#N/A</v>
      </c>
    </row>
    <row r="11" spans="1:24" x14ac:dyDescent="0.2">
      <c r="P11">
        <f>IF(AND(ISNUMBER(O8), ISNUMBER(O14)), INDEX('2.Distances'!E3:N227, (O8*15) + O14 + 1,5), NA())</f>
        <v>37.784170000000003</v>
      </c>
      <c r="Q11">
        <f>IF(AND(ISNUMBER(O8), ISNUMBER(O14)), INDEX('2.Distances'!E3:N227, (O8*15) + O14 + 1,6), NA())</f>
        <v>128.88061999999999</v>
      </c>
      <c r="S11" t="e">
        <f>IF(AND(ISNUMBER(R8), ISNUMBER(R14)), INDEX('2.Distances'!E3:N227, (R8*15) + R14 + 1,5), NA())</f>
        <v>#N/A</v>
      </c>
      <c r="T11" t="e">
        <f>IF(AND(ISNUMBER(R8), ISNUMBER(R14)), INDEX('2.Distances'!E3:N227, (R8*15) + R14 + 1,6), NA())</f>
        <v>#N/A</v>
      </c>
      <c r="V11" t="e">
        <f>IF(AND(ISNUMBER(U8), ISNUMBER(U14)), INDEX('2.Distances'!E3:N227, (U8*15) + U14 + 1,5), NA())</f>
        <v>#N/A</v>
      </c>
      <c r="W11" t="e">
        <f>IF(AND(ISNUMBER(U8), ISNUMBER(U14)), INDEX('2.Distances'!E3:N227, (U8*15) + U14 + 1,6), NA())</f>
        <v>#N/A</v>
      </c>
    </row>
    <row r="12" spans="1:24" x14ac:dyDescent="0.2">
      <c r="P12">
        <f>IF(AND(ISNUMBER(O8), ISNUMBER(O14)), INDEX('2.Distances'!E3:N227, (O8*15) + O14 + 1,7), NA())</f>
        <v>37.784230000000001</v>
      </c>
      <c r="Q12">
        <f>IF(AND(ISNUMBER(O8), ISNUMBER(O14)), INDEX('2.Distances'!E3:N227, (O8*15) + O14 + 1,8), NA())</f>
        <v>128.88122000000001</v>
      </c>
      <c r="S12" t="e">
        <f>IF(AND(ISNUMBER(R8), ISNUMBER(R14)), INDEX('2.Distances'!E3:N227, (R8*15) + R14 + 1,7), NA())</f>
        <v>#N/A</v>
      </c>
      <c r="T12" t="e">
        <f>IF(AND(ISNUMBER(R8), ISNUMBER(R14)), INDEX('2.Distances'!E3:N227, (R8*15) + R14 + 1,8), NA())</f>
        <v>#N/A</v>
      </c>
      <c r="V12" t="e">
        <f>IF(AND(ISNUMBER(U8), ISNUMBER(U14)), INDEX('2.Distances'!E3:N227, (U8*15) + U14 + 1,7), NA())</f>
        <v>#N/A</v>
      </c>
      <c r="W12" t="e">
        <f>IF(AND(ISNUMBER(U8), ISNUMBER(U14)), INDEX('2.Distances'!E3:N227, (U8*15) + U14 + 1,8), NA())</f>
        <v>#N/A</v>
      </c>
    </row>
    <row r="13" spans="1:24" x14ac:dyDescent="0.2">
      <c r="P13">
        <f>IF(AND(ISNUMBER(O8), ISNUMBER(O14)), INDEX('2.Distances'!E3:N227, (O8*15) + O14 + 1,9), NA())</f>
        <v>37.78398</v>
      </c>
      <c r="Q13">
        <f>IF(AND(ISNUMBER(O8), ISNUMBER(O14)), INDEX('2.Distances'!E3:N227, (O8*15) + O14 + 1,10), NA())</f>
        <v>128.88212999999999</v>
      </c>
      <c r="S13" t="e">
        <f>IF(AND(ISNUMBER(R8), ISNUMBER(R14)), INDEX('2.Distances'!E3:N227, (R8*15) + R14 + 1,9), NA())</f>
        <v>#N/A</v>
      </c>
      <c r="T13" t="e">
        <f>IF(AND(ISNUMBER(R8), ISNUMBER(R14)), INDEX('2.Distances'!E3:N227, (R8*15) + R14 + 1,10), NA())</f>
        <v>#N/A</v>
      </c>
      <c r="V13" t="e">
        <f>IF(AND(ISNUMBER(U8), ISNUMBER(U14)), INDEX('2.Distances'!E3:N227, (U8*15) + U14 + 1,9), NA())</f>
        <v>#N/A</v>
      </c>
      <c r="W13" t="e">
        <f>IF(AND(ISNUMBER(U8), ISNUMBER(U14)), INDEX('2.Distances'!E3:N227, (U8*15) + U14 + 1,10), NA())</f>
        <v>#N/A</v>
      </c>
    </row>
    <row r="14" spans="1:24" x14ac:dyDescent="0.2">
      <c r="O14">
        <f>'4.Solution'!C7</f>
        <v>8</v>
      </c>
      <c r="P14">
        <f>IFERROR(IF(ISNUMBER(O14),INDEX('1.Locations'!$D$2:$D$16,O14 + 1),NA()),NA())</f>
        <v>37.784900898309097</v>
      </c>
      <c r="Q14">
        <f>IFERROR(IF(ISNUMBER(O14),INDEX('1.Locations'!$E$2:$E$16,O14 + 1),NA()),NA())</f>
        <v>128.88414860348999</v>
      </c>
      <c r="R14" t="str">
        <f>'4.Solution'!T7</f>
        <v xml:space="preserve"> </v>
      </c>
      <c r="S14" t="e">
        <f>IFERROR(IF(ISNUMBER(R14),INDEX('1.Locations'!$D$2:$D$16,R14 + 1),NA()),NA())</f>
        <v>#N/A</v>
      </c>
      <c r="T14" t="e">
        <f>IFERROR(IF(ISNUMBER(R14),INDEX('1.Locations'!$E$2:$E$16,R14 + 1),NA()),NA())</f>
        <v>#N/A</v>
      </c>
      <c r="U14" t="str">
        <f>'4.Solution'!AK7</f>
        <v xml:space="preserve"> </v>
      </c>
      <c r="V14" t="e">
        <f>IFERROR(IF(ISNUMBER(U14),INDEX('1.Locations'!$D$2:$D$16,U14 + 1),NA()),NA())</f>
        <v>#N/A</v>
      </c>
      <c r="W14" t="e">
        <f>IFERROR(IF(ISNUMBER(U14),INDEX('1.Locations'!$E$2:$E$16,U14 + 1),NA()),NA())</f>
        <v>#N/A</v>
      </c>
    </row>
    <row r="15" spans="1:24" x14ac:dyDescent="0.2">
      <c r="P15">
        <f>IF(AND(ISNUMBER(O14), ISNUMBER(O20)), INDEX('2.Distances'!E3:N227, (O14*15) + O20 + 1,1), NA())</f>
        <v>37.786090000000002</v>
      </c>
      <c r="Q15">
        <f>IF(AND(ISNUMBER(O14), ISNUMBER(O20)), INDEX('2.Distances'!E3:N227, (O14*15) + O20 + 1,2), NA())</f>
        <v>128.88699</v>
      </c>
      <c r="S15" t="e">
        <f>IF(AND(ISNUMBER(R14), ISNUMBER(R20)), INDEX('2.Distances'!E3:N227, (R14*15) + R20 + 1,1), NA())</f>
        <v>#N/A</v>
      </c>
      <c r="T15" t="e">
        <f>IF(AND(ISNUMBER(R14), ISNUMBER(R20)), INDEX('2.Distances'!E3:N227, (R14*15) + R20 + 1,2), NA())</f>
        <v>#N/A</v>
      </c>
      <c r="V15" t="e">
        <f>IF(AND(ISNUMBER(U14), ISNUMBER(U20)), INDEX('2.Distances'!E3:N227, (U14*15) + U20 + 1,1), NA())</f>
        <v>#N/A</v>
      </c>
      <c r="W15" t="e">
        <f>IF(AND(ISNUMBER(U14), ISNUMBER(U20)), INDEX('2.Distances'!E3:N227, (U14*15) + U20 + 1,2), NA())</f>
        <v>#N/A</v>
      </c>
    </row>
    <row r="16" spans="1:24" x14ac:dyDescent="0.2">
      <c r="P16">
        <f>IF(AND(ISNUMBER(O14), ISNUMBER(O20)), INDEX('2.Distances'!E3:N227, (O14*15) + O20 + 1,3), NA())</f>
        <v>37.785510000000002</v>
      </c>
      <c r="Q16">
        <f>IF(AND(ISNUMBER(O14), ISNUMBER(O20)), INDEX('2.Distances'!E3:N227, (O14*15) + O20 + 1,4), NA())</f>
        <v>128.89019999999999</v>
      </c>
      <c r="S16" t="e">
        <f>IF(AND(ISNUMBER(R14), ISNUMBER(R20)), INDEX('2.Distances'!E3:N227, (R14*15) + R20 + 1,3), NA())</f>
        <v>#N/A</v>
      </c>
      <c r="T16" t="e">
        <f>IF(AND(ISNUMBER(R14), ISNUMBER(R20)), INDEX('2.Distances'!E3:N227, (R14*15) + R20 + 1,4), NA())</f>
        <v>#N/A</v>
      </c>
      <c r="V16" t="e">
        <f>IF(AND(ISNUMBER(U14), ISNUMBER(U20)), INDEX('2.Distances'!E3:N227, (U14*15) + U20 + 1,3), NA())</f>
        <v>#N/A</v>
      </c>
      <c r="W16" t="e">
        <f>IF(AND(ISNUMBER(U14), ISNUMBER(U20)), INDEX('2.Distances'!E3:N227, (U14*15) + U20 + 1,4), NA())</f>
        <v>#N/A</v>
      </c>
    </row>
    <row r="17" spans="15:23" x14ac:dyDescent="0.2">
      <c r="P17">
        <f>IF(AND(ISNUMBER(O14), ISNUMBER(O20)), INDEX('2.Distances'!E3:N227, (O14*15) + O20 + 1,5), NA())</f>
        <v>37.785719999999998</v>
      </c>
      <c r="Q17">
        <f>IF(AND(ISNUMBER(O14), ISNUMBER(O20)), INDEX('2.Distances'!E3:N227, (O14*15) + O20 + 1,6), NA())</f>
        <v>128.89152999999999</v>
      </c>
      <c r="S17" t="e">
        <f>IF(AND(ISNUMBER(R14), ISNUMBER(R20)), INDEX('2.Distances'!E3:N227, (R14*15) + R20 + 1,5), NA())</f>
        <v>#N/A</v>
      </c>
      <c r="T17" t="e">
        <f>IF(AND(ISNUMBER(R14), ISNUMBER(R20)), INDEX('2.Distances'!E3:N227, (R14*15) + R20 + 1,6), NA())</f>
        <v>#N/A</v>
      </c>
      <c r="V17" t="e">
        <f>IF(AND(ISNUMBER(U14), ISNUMBER(U20)), INDEX('2.Distances'!E3:N227, (U14*15) + U20 + 1,5), NA())</f>
        <v>#N/A</v>
      </c>
      <c r="W17" t="e">
        <f>IF(AND(ISNUMBER(U14), ISNUMBER(U20)), INDEX('2.Distances'!E3:N227, (U14*15) + U20 + 1,6), NA())</f>
        <v>#N/A</v>
      </c>
    </row>
    <row r="18" spans="15:23" x14ac:dyDescent="0.2">
      <c r="P18">
        <f>IF(AND(ISNUMBER(O14), ISNUMBER(O20)), INDEX('2.Distances'!E3:N227, (O14*15) + O20 + 1,7), NA())</f>
        <v>37.78642</v>
      </c>
      <c r="Q18">
        <f>IF(AND(ISNUMBER(O14), ISNUMBER(O20)), INDEX('2.Distances'!E3:N227, (O14*15) + O20 + 1,8), NA())</f>
        <v>128.89251999999999</v>
      </c>
      <c r="S18" t="e">
        <f>IF(AND(ISNUMBER(R14), ISNUMBER(R20)), INDEX('2.Distances'!E3:N227, (R14*15) + R20 + 1,7), NA())</f>
        <v>#N/A</v>
      </c>
      <c r="T18" t="e">
        <f>IF(AND(ISNUMBER(R14), ISNUMBER(R20)), INDEX('2.Distances'!E3:N227, (R14*15) + R20 + 1,8), NA())</f>
        <v>#N/A</v>
      </c>
      <c r="V18" t="e">
        <f>IF(AND(ISNUMBER(U14), ISNUMBER(U20)), INDEX('2.Distances'!E3:N227, (U14*15) + U20 + 1,7), NA())</f>
        <v>#N/A</v>
      </c>
      <c r="W18" t="e">
        <f>IF(AND(ISNUMBER(U14), ISNUMBER(U20)), INDEX('2.Distances'!E3:N227, (U14*15) + U20 + 1,8), NA())</f>
        <v>#N/A</v>
      </c>
    </row>
    <row r="19" spans="15:23" x14ac:dyDescent="0.2">
      <c r="P19">
        <f>IF(AND(ISNUMBER(O14), ISNUMBER(O20)), INDEX('2.Distances'!E3:N227, (O14*15) + O20 + 1,9), NA())</f>
        <v>37.788539999999998</v>
      </c>
      <c r="Q19">
        <f>IF(AND(ISNUMBER(O14), ISNUMBER(O20)), INDEX('2.Distances'!E3:N227, (O14*15) + O20 + 1,10), NA())</f>
        <v>128.89434</v>
      </c>
      <c r="S19" t="e">
        <f>IF(AND(ISNUMBER(R14), ISNUMBER(R20)), INDEX('2.Distances'!E3:N227, (R14*15) + R20 + 1,9), NA())</f>
        <v>#N/A</v>
      </c>
      <c r="T19" t="e">
        <f>IF(AND(ISNUMBER(R14), ISNUMBER(R20)), INDEX('2.Distances'!E3:N227, (R14*15) + R20 + 1,10), NA())</f>
        <v>#N/A</v>
      </c>
      <c r="V19" t="e">
        <f>IF(AND(ISNUMBER(U14), ISNUMBER(U20)), INDEX('2.Distances'!E3:N227, (U14*15) + U20 + 1,9), NA())</f>
        <v>#N/A</v>
      </c>
      <c r="W19" t="e">
        <f>IF(AND(ISNUMBER(U14), ISNUMBER(U20)), INDEX('2.Distances'!E3:N227, (U14*15) + U20 + 1,10), NA())</f>
        <v>#N/A</v>
      </c>
    </row>
    <row r="20" spans="15:23" x14ac:dyDescent="0.2">
      <c r="O20">
        <f>'4.Solution'!C8</f>
        <v>6</v>
      </c>
      <c r="P20">
        <f>IFERROR(IF(ISNUMBER(O20),INDEX('1.Locations'!$D$2:$D$16,O20 + 1),NA()),NA())</f>
        <v>37.795191717606301</v>
      </c>
      <c r="Q20">
        <f>IFERROR(IF(ISNUMBER(O20),INDEX('1.Locations'!$E$2:$E$16,O20 + 1),NA()),NA())</f>
        <v>128.89692747110601</v>
      </c>
      <c r="R20" t="str">
        <f>'4.Solution'!T8</f>
        <v xml:space="preserve"> </v>
      </c>
      <c r="S20" t="e">
        <f>IFERROR(IF(ISNUMBER(R20),INDEX('1.Locations'!$D$2:$D$16,R20 + 1),NA()),NA())</f>
        <v>#N/A</v>
      </c>
      <c r="T20" t="e">
        <f>IFERROR(IF(ISNUMBER(R20),INDEX('1.Locations'!$E$2:$E$16,R20 + 1),NA()),NA())</f>
        <v>#N/A</v>
      </c>
      <c r="U20" t="str">
        <f>'4.Solution'!AK8</f>
        <v xml:space="preserve"> </v>
      </c>
      <c r="V20" t="e">
        <f>IFERROR(IF(ISNUMBER(U20),INDEX('1.Locations'!$D$2:$D$16,U20 + 1),NA()),NA())</f>
        <v>#N/A</v>
      </c>
      <c r="W20" t="e">
        <f>IFERROR(IF(ISNUMBER(U20),INDEX('1.Locations'!$E$2:$E$16,U20 + 1),NA()),NA())</f>
        <v>#N/A</v>
      </c>
    </row>
    <row r="21" spans="15:23" x14ac:dyDescent="0.2">
      <c r="P21">
        <f>IF(AND(ISNUMBER(O20), ISNUMBER(O26)), INDEX('2.Distances'!E3:N227, (O20*15) + O26 + 1,1), NA())</f>
        <v>37.795169999999999</v>
      </c>
      <c r="Q21">
        <f>IF(AND(ISNUMBER(O20), ISNUMBER(O26)), INDEX('2.Distances'!E3:N227, (O20*15) + O26 + 1,2), NA())</f>
        <v>128.89704</v>
      </c>
      <c r="S21" t="e">
        <f>IF(AND(ISNUMBER(R20), ISNUMBER(R26)), INDEX('2.Distances'!E3:N227, (R20*15) + R26 + 1,1), NA())</f>
        <v>#N/A</v>
      </c>
      <c r="T21" t="e">
        <f>IF(AND(ISNUMBER(R20), ISNUMBER(R26)), INDEX('2.Distances'!E3:N227, (R20*15) + R26 + 1,2), NA())</f>
        <v>#N/A</v>
      </c>
      <c r="V21" t="e">
        <f>IF(AND(ISNUMBER(U20), ISNUMBER(U26)), INDEX('2.Distances'!E3:N227, (U20*15) + U26 + 1,1), NA())</f>
        <v>#N/A</v>
      </c>
      <c r="W21" t="e">
        <f>IF(AND(ISNUMBER(U20), ISNUMBER(U26)), INDEX('2.Distances'!E3:N227, (U20*15) + U26 + 1,2), NA())</f>
        <v>#N/A</v>
      </c>
    </row>
    <row r="22" spans="15:23" x14ac:dyDescent="0.2">
      <c r="P22">
        <f>IF(AND(ISNUMBER(O20), ISNUMBER(O26)), INDEX('2.Distances'!E3:N227, (O20*15) + O26 + 1,3), NA())</f>
        <v>37.79533</v>
      </c>
      <c r="Q22">
        <f>IF(AND(ISNUMBER(O20), ISNUMBER(O26)), INDEX('2.Distances'!E3:N227, (O20*15) + O26 + 1,4), NA())</f>
        <v>128.89708999999999</v>
      </c>
      <c r="S22" t="e">
        <f>IF(AND(ISNUMBER(R20), ISNUMBER(R26)), INDEX('2.Distances'!E3:N227, (R20*15) + R26 + 1,3), NA())</f>
        <v>#N/A</v>
      </c>
      <c r="T22" t="e">
        <f>IF(AND(ISNUMBER(R20), ISNUMBER(R26)), INDEX('2.Distances'!E3:N227, (R20*15) + R26 + 1,4), NA())</f>
        <v>#N/A</v>
      </c>
      <c r="V22" t="e">
        <f>IF(AND(ISNUMBER(U20), ISNUMBER(U26)), INDEX('2.Distances'!E3:N227, (U20*15) + U26 + 1,3), NA())</f>
        <v>#N/A</v>
      </c>
      <c r="W22" t="e">
        <f>IF(AND(ISNUMBER(U20), ISNUMBER(U26)), INDEX('2.Distances'!E3:N227, (U20*15) + U26 + 1,4), NA())</f>
        <v>#N/A</v>
      </c>
    </row>
    <row r="23" spans="15:23" x14ac:dyDescent="0.2">
      <c r="P23">
        <f>IF(AND(ISNUMBER(O20), ISNUMBER(O26)), INDEX('2.Distances'!E3:N227, (O20*15) + O26 + 1,5), NA())</f>
        <v>37.796720000000001</v>
      </c>
      <c r="Q23">
        <f>IF(AND(ISNUMBER(O20), ISNUMBER(O26)), INDEX('2.Distances'!E3:N227, (O20*15) + O26 + 1,6), NA())</f>
        <v>128.89751999999999</v>
      </c>
      <c r="S23" t="e">
        <f>IF(AND(ISNUMBER(R20), ISNUMBER(R26)), INDEX('2.Distances'!E3:N227, (R20*15) + R26 + 1,5), NA())</f>
        <v>#N/A</v>
      </c>
      <c r="T23" t="e">
        <f>IF(AND(ISNUMBER(R20), ISNUMBER(R26)), INDEX('2.Distances'!E3:N227, (R20*15) + R26 + 1,6), NA())</f>
        <v>#N/A</v>
      </c>
      <c r="V23" t="e">
        <f>IF(AND(ISNUMBER(U20), ISNUMBER(U26)), INDEX('2.Distances'!E3:N227, (U20*15) + U26 + 1,5), NA())</f>
        <v>#N/A</v>
      </c>
      <c r="W23" t="e">
        <f>IF(AND(ISNUMBER(U20), ISNUMBER(U26)), INDEX('2.Distances'!E3:N227, (U20*15) + U26 + 1,6), NA())</f>
        <v>#N/A</v>
      </c>
    </row>
    <row r="24" spans="15:23" x14ac:dyDescent="0.2">
      <c r="P24">
        <f>IF(AND(ISNUMBER(O20), ISNUMBER(O26)), INDEX('2.Distances'!E3:N227, (O20*15) + O26 + 1,7), NA())</f>
        <v>37.796979999999998</v>
      </c>
      <c r="Q24">
        <f>IF(AND(ISNUMBER(O20), ISNUMBER(O26)), INDEX('2.Distances'!E3:N227, (O20*15) + O26 + 1,8), NA())</f>
        <v>128.89762999999999</v>
      </c>
      <c r="S24" t="e">
        <f>IF(AND(ISNUMBER(R20), ISNUMBER(R26)), INDEX('2.Distances'!E3:N227, (R20*15) + R26 + 1,7), NA())</f>
        <v>#N/A</v>
      </c>
      <c r="T24" t="e">
        <f>IF(AND(ISNUMBER(R20), ISNUMBER(R26)), INDEX('2.Distances'!E3:N227, (R20*15) + R26 + 1,8), NA())</f>
        <v>#N/A</v>
      </c>
      <c r="V24" t="e">
        <f>IF(AND(ISNUMBER(U20), ISNUMBER(U26)), INDEX('2.Distances'!E3:N227, (U20*15) + U26 + 1,7), NA())</f>
        <v>#N/A</v>
      </c>
      <c r="W24" t="e">
        <f>IF(AND(ISNUMBER(U20), ISNUMBER(U26)), INDEX('2.Distances'!E3:N227, (U20*15) + U26 + 1,8), NA())</f>
        <v>#N/A</v>
      </c>
    </row>
    <row r="25" spans="15:23" x14ac:dyDescent="0.2">
      <c r="P25">
        <f>IF(AND(ISNUMBER(O20), ISNUMBER(O26)), INDEX('2.Distances'!E3:N227, (O20*15) + O26 + 1,9), NA())</f>
        <v>37.797049999999999</v>
      </c>
      <c r="Q25">
        <f>IF(AND(ISNUMBER(O20), ISNUMBER(O26)), INDEX('2.Distances'!E3:N227, (O20*15) + O26 + 1,10), NA())</f>
        <v>128.89767000000001</v>
      </c>
      <c r="S25" t="e">
        <f>IF(AND(ISNUMBER(R20), ISNUMBER(R26)), INDEX('2.Distances'!E3:N227, (R20*15) + R26 + 1,9), NA())</f>
        <v>#N/A</v>
      </c>
      <c r="T25" t="e">
        <f>IF(AND(ISNUMBER(R20), ISNUMBER(R26)), INDEX('2.Distances'!E3:N227, (R20*15) + R26 + 1,10), NA())</f>
        <v>#N/A</v>
      </c>
      <c r="V25" t="e">
        <f>IF(AND(ISNUMBER(U20), ISNUMBER(U26)), INDEX('2.Distances'!E3:N227, (U20*15) + U26 + 1,9), NA())</f>
        <v>#N/A</v>
      </c>
      <c r="W25" t="e">
        <f>IF(AND(ISNUMBER(U20), ISNUMBER(U26)), INDEX('2.Distances'!E3:N227, (U20*15) + U26 + 1,10), NA())</f>
        <v>#N/A</v>
      </c>
    </row>
    <row r="26" spans="15:23" x14ac:dyDescent="0.2">
      <c r="O26">
        <f>'4.Solution'!C9</f>
        <v>7</v>
      </c>
      <c r="P26">
        <f>IFERROR(IF(ISNUMBER(O26),INDEX('1.Locations'!$D$2:$D$16,O26 + 1),NA()),NA())</f>
        <v>37.797273475760399</v>
      </c>
      <c r="Q26">
        <f>IFERROR(IF(ISNUMBER(O26),INDEX('1.Locations'!$E$2:$E$16,O26 + 1),NA()),NA())</f>
        <v>128.90017885179</v>
      </c>
      <c r="R26" t="str">
        <f>'4.Solution'!T9</f>
        <v xml:space="preserve"> </v>
      </c>
      <c r="S26" t="e">
        <f>IFERROR(IF(ISNUMBER(R26),INDEX('1.Locations'!$D$2:$D$16,R26 + 1),NA()),NA())</f>
        <v>#N/A</v>
      </c>
      <c r="T26" t="e">
        <f>IFERROR(IF(ISNUMBER(R26),INDEX('1.Locations'!$E$2:$E$16,R26 + 1),NA()),NA())</f>
        <v>#N/A</v>
      </c>
      <c r="U26" t="str">
        <f>'4.Solution'!AK9</f>
        <v xml:space="preserve"> </v>
      </c>
      <c r="V26" t="e">
        <f>IFERROR(IF(ISNUMBER(U26),INDEX('1.Locations'!$D$2:$D$16,U26 + 1),NA()),NA())</f>
        <v>#N/A</v>
      </c>
      <c r="W26" t="e">
        <f>IFERROR(IF(ISNUMBER(U26),INDEX('1.Locations'!$E$2:$E$16,U26 + 1),NA()),NA())</f>
        <v>#N/A</v>
      </c>
    </row>
    <row r="27" spans="15:23" x14ac:dyDescent="0.2">
      <c r="P27">
        <f>IF(AND(ISNUMBER(O26), ISNUMBER(O32)), INDEX('2.Distances'!E3:N227, (O26*15) + O32 + 1,1), NA())</f>
        <v>37.798189999999998</v>
      </c>
      <c r="Q27">
        <f>IF(AND(ISNUMBER(O26), ISNUMBER(O32)), INDEX('2.Distances'!E3:N227, (O26*15) + O32 + 1,2), NA())</f>
        <v>128.89856</v>
      </c>
      <c r="S27" t="e">
        <f>IF(AND(ISNUMBER(R26), ISNUMBER(R32)), INDEX('2.Distances'!E3:N227, (R26*15) + R32 + 1,1), NA())</f>
        <v>#N/A</v>
      </c>
      <c r="T27" t="e">
        <f>IF(AND(ISNUMBER(R26), ISNUMBER(R32)), INDEX('2.Distances'!E3:N227, (R26*15) + R32 + 1,2), NA())</f>
        <v>#N/A</v>
      </c>
      <c r="V27" t="e">
        <f>IF(AND(ISNUMBER(U26), ISNUMBER(U32)), INDEX('2.Distances'!E3:N227, (U26*15) + U32 + 1,1), NA())</f>
        <v>#N/A</v>
      </c>
      <c r="W27" t="e">
        <f>IF(AND(ISNUMBER(U26), ISNUMBER(U32)), INDEX('2.Distances'!E3:N227, (U26*15) + U32 + 1,2), NA())</f>
        <v>#N/A</v>
      </c>
    </row>
    <row r="28" spans="15:23" x14ac:dyDescent="0.2">
      <c r="P28">
        <f>IF(AND(ISNUMBER(O26), ISNUMBER(O32)), INDEX('2.Distances'!E3:N227, (O26*15) + O32 + 1,3), NA())</f>
        <v>37.798380000000002</v>
      </c>
      <c r="Q28">
        <f>IF(AND(ISNUMBER(O26), ISNUMBER(O32)), INDEX('2.Distances'!E3:N227, (O26*15) + O32 + 1,4), NA())</f>
        <v>128.89873</v>
      </c>
      <c r="S28" t="e">
        <f>IF(AND(ISNUMBER(R26), ISNUMBER(R32)), INDEX('2.Distances'!E3:N227, (R26*15) + R32 + 1,3), NA())</f>
        <v>#N/A</v>
      </c>
      <c r="T28" t="e">
        <f>IF(AND(ISNUMBER(R26), ISNUMBER(R32)), INDEX('2.Distances'!E3:N227, (R26*15) + R32 + 1,4), NA())</f>
        <v>#N/A</v>
      </c>
      <c r="V28" t="e">
        <f>IF(AND(ISNUMBER(U26), ISNUMBER(U32)), INDEX('2.Distances'!E3:N227, (U26*15) + U32 + 1,3), NA())</f>
        <v>#N/A</v>
      </c>
      <c r="W28" t="e">
        <f>IF(AND(ISNUMBER(U26), ISNUMBER(U32)), INDEX('2.Distances'!E3:N227, (U26*15) + U32 + 1,4), NA())</f>
        <v>#N/A</v>
      </c>
    </row>
    <row r="29" spans="15:23" x14ac:dyDescent="0.2">
      <c r="P29">
        <f>IF(AND(ISNUMBER(O26), ISNUMBER(O32)), INDEX('2.Distances'!E3:N227, (O26*15) + O32 + 1,5), NA())</f>
        <v>37.798699999999997</v>
      </c>
      <c r="Q29">
        <f>IF(AND(ISNUMBER(O26), ISNUMBER(O32)), INDEX('2.Distances'!E3:N227, (O26*15) + O32 + 1,6), NA())</f>
        <v>128.89909</v>
      </c>
      <c r="S29" t="e">
        <f>IF(AND(ISNUMBER(R26), ISNUMBER(R32)), INDEX('2.Distances'!E3:N227, (R26*15) + R32 + 1,5), NA())</f>
        <v>#N/A</v>
      </c>
      <c r="T29" t="e">
        <f>IF(AND(ISNUMBER(R26), ISNUMBER(R32)), INDEX('2.Distances'!E3:N227, (R26*15) + R32 + 1,6), NA())</f>
        <v>#N/A</v>
      </c>
      <c r="V29" t="e">
        <f>IF(AND(ISNUMBER(U26), ISNUMBER(U32)), INDEX('2.Distances'!E3:N227, (U26*15) + U32 + 1,5), NA())</f>
        <v>#N/A</v>
      </c>
      <c r="W29" t="e">
        <f>IF(AND(ISNUMBER(U26), ISNUMBER(U32)), INDEX('2.Distances'!E3:N227, (U26*15) + U32 + 1,6), NA())</f>
        <v>#N/A</v>
      </c>
    </row>
    <row r="30" spans="15:23" x14ac:dyDescent="0.2">
      <c r="P30">
        <f>IF(AND(ISNUMBER(O26), ISNUMBER(O32)), INDEX('2.Distances'!E3:N227, (O26*15) + O32 + 1,7), NA())</f>
        <v>37.798720000000003</v>
      </c>
      <c r="Q30">
        <f>IF(AND(ISNUMBER(O26), ISNUMBER(O32)), INDEX('2.Distances'!E3:N227, (O26*15) + O32 + 1,8), NA())</f>
        <v>128.89911000000001</v>
      </c>
      <c r="S30" t="e">
        <f>IF(AND(ISNUMBER(R26), ISNUMBER(R32)), INDEX('2.Distances'!E3:N227, (R26*15) + R32 + 1,7), NA())</f>
        <v>#N/A</v>
      </c>
      <c r="T30" t="e">
        <f>IF(AND(ISNUMBER(R26), ISNUMBER(R32)), INDEX('2.Distances'!E3:N227, (R26*15) + R32 + 1,8), NA())</f>
        <v>#N/A</v>
      </c>
      <c r="V30" t="e">
        <f>IF(AND(ISNUMBER(U26), ISNUMBER(U32)), INDEX('2.Distances'!E3:N227, (U26*15) + U32 + 1,7), NA())</f>
        <v>#N/A</v>
      </c>
      <c r="W30" t="e">
        <f>IF(AND(ISNUMBER(U26), ISNUMBER(U32)), INDEX('2.Distances'!E3:N227, (U26*15) + U32 + 1,8), NA())</f>
        <v>#N/A</v>
      </c>
    </row>
    <row r="31" spans="15:23" x14ac:dyDescent="0.2">
      <c r="P31">
        <f>IF(AND(ISNUMBER(O26), ISNUMBER(O32)), INDEX('2.Distances'!E3:N227, (O26*15) + O32 + 1,9), NA())</f>
        <v>37.798920000000003</v>
      </c>
      <c r="Q31">
        <f>IF(AND(ISNUMBER(O26), ISNUMBER(O32)), INDEX('2.Distances'!E3:N227, (O26*15) + O32 + 1,10), NA())</f>
        <v>128.89940000000001</v>
      </c>
      <c r="S31" t="e">
        <f>IF(AND(ISNUMBER(R26), ISNUMBER(R32)), INDEX('2.Distances'!E3:N227, (R26*15) + R32 + 1,9), NA())</f>
        <v>#N/A</v>
      </c>
      <c r="T31" t="e">
        <f>IF(AND(ISNUMBER(R26), ISNUMBER(R32)), INDEX('2.Distances'!E3:N227, (R26*15) + R32 + 1,10), NA())</f>
        <v>#N/A</v>
      </c>
      <c r="V31" t="e">
        <f>IF(AND(ISNUMBER(U26), ISNUMBER(U32)), INDEX('2.Distances'!E3:N227, (U26*15) + U32 + 1,9), NA())</f>
        <v>#N/A</v>
      </c>
      <c r="W31" t="e">
        <f>IF(AND(ISNUMBER(U26), ISNUMBER(U32)), INDEX('2.Distances'!E3:N227, (U26*15) + U32 + 1,10), NA())</f>
        <v>#N/A</v>
      </c>
    </row>
    <row r="32" spans="15:23" x14ac:dyDescent="0.2">
      <c r="O32">
        <f>'4.Solution'!C10</f>
        <v>5</v>
      </c>
      <c r="P32">
        <f>IFERROR(IF(ISNUMBER(O32),INDEX('1.Locations'!$D$2:$D$16,O32 + 1),NA()),NA())</f>
        <v>37.801236165643203</v>
      </c>
      <c r="Q32">
        <f>IFERROR(IF(ISNUMBER(O32),INDEX('1.Locations'!$E$2:$E$16,O32 + 1),NA()),NA())</f>
        <v>128.903057385952</v>
      </c>
      <c r="R32" t="str">
        <f>'4.Solution'!T10</f>
        <v xml:space="preserve"> </v>
      </c>
      <c r="S32" t="e">
        <f>IFERROR(IF(ISNUMBER(R32),INDEX('1.Locations'!$D$2:$D$16,R32 + 1),NA()),NA())</f>
        <v>#N/A</v>
      </c>
      <c r="T32" t="e">
        <f>IFERROR(IF(ISNUMBER(R32),INDEX('1.Locations'!$E$2:$E$16,R32 + 1),NA()),NA())</f>
        <v>#N/A</v>
      </c>
      <c r="U32" t="str">
        <f>'4.Solution'!AK10</f>
        <v xml:space="preserve"> </v>
      </c>
      <c r="V32" t="e">
        <f>IFERROR(IF(ISNUMBER(U32),INDEX('1.Locations'!$D$2:$D$16,U32 + 1),NA()),NA())</f>
        <v>#N/A</v>
      </c>
      <c r="W32" t="e">
        <f>IFERROR(IF(ISNUMBER(U32),INDEX('1.Locations'!$E$2:$E$16,U32 + 1),NA()),NA())</f>
        <v>#N/A</v>
      </c>
    </row>
    <row r="33" spans="15:23" x14ac:dyDescent="0.2">
      <c r="P33">
        <f>IF(AND(ISNUMBER(O32), ISNUMBER(O38)), INDEX('2.Distances'!E3:N227, (O32*15) + O38 + 1,1), NA())</f>
        <v>37.801549999999999</v>
      </c>
      <c r="Q33">
        <f>IF(AND(ISNUMBER(O32), ISNUMBER(O38)), INDEX('2.Distances'!E3:N227, (O32*15) + O38 + 1,2), NA())</f>
        <v>128.90346</v>
      </c>
      <c r="S33" t="e">
        <f>IF(AND(ISNUMBER(R32), ISNUMBER(R38)), INDEX('2.Distances'!E3:N227, (R32*15) + R38 + 1,1), NA())</f>
        <v>#N/A</v>
      </c>
      <c r="T33" t="e">
        <f>IF(AND(ISNUMBER(R32), ISNUMBER(R38)), INDEX('2.Distances'!E3:N227, (R32*15) + R38 + 1,2), NA())</f>
        <v>#N/A</v>
      </c>
      <c r="V33" t="e">
        <f>IF(AND(ISNUMBER(U32), ISNUMBER(U38)), INDEX('2.Distances'!E3:N227, (U32*15) + U38 + 1,1), NA())</f>
        <v>#N/A</v>
      </c>
      <c r="W33" t="e">
        <f>IF(AND(ISNUMBER(U32), ISNUMBER(U38)), INDEX('2.Distances'!E3:N227, (U32*15) + U38 + 1,2), NA())</f>
        <v>#N/A</v>
      </c>
    </row>
    <row r="34" spans="15:23" x14ac:dyDescent="0.2">
      <c r="P34">
        <f>IF(AND(ISNUMBER(O32), ISNUMBER(O38)), INDEX('2.Distances'!E3:N227, (O32*15) + O38 + 1,3), NA())</f>
        <v>37.802460000000004</v>
      </c>
      <c r="Q34">
        <f>IF(AND(ISNUMBER(O32), ISNUMBER(O38)), INDEX('2.Distances'!E3:N227, (O32*15) + O38 + 1,4), NA())</f>
        <v>128.90432000000001</v>
      </c>
      <c r="S34" t="e">
        <f>IF(AND(ISNUMBER(R32), ISNUMBER(R38)), INDEX('2.Distances'!E3:N227, (R32*15) + R38 + 1,3), NA())</f>
        <v>#N/A</v>
      </c>
      <c r="T34" t="e">
        <f>IF(AND(ISNUMBER(R32), ISNUMBER(R38)), INDEX('2.Distances'!E3:N227, (R32*15) + R38 + 1,4), NA())</f>
        <v>#N/A</v>
      </c>
      <c r="V34" t="e">
        <f>IF(AND(ISNUMBER(U32), ISNUMBER(U38)), INDEX('2.Distances'!E3:N227, (U32*15) + U38 + 1,3), NA())</f>
        <v>#N/A</v>
      </c>
      <c r="W34" t="e">
        <f>IF(AND(ISNUMBER(U32), ISNUMBER(U38)), INDEX('2.Distances'!E3:N227, (U32*15) + U38 + 1,4), NA())</f>
        <v>#N/A</v>
      </c>
    </row>
    <row r="35" spans="15:23" x14ac:dyDescent="0.2">
      <c r="P35">
        <f>IF(AND(ISNUMBER(O32), ISNUMBER(O38)), INDEX('2.Distances'!E3:N227, (O32*15) + O38 + 1,5), NA())</f>
        <v>37.803809999999999</v>
      </c>
      <c r="Q35">
        <f>IF(AND(ISNUMBER(O32), ISNUMBER(O38)), INDEX('2.Distances'!E3:N227, (O32*15) + O38 + 1,6), NA())</f>
        <v>128.90525</v>
      </c>
      <c r="S35" t="e">
        <f>IF(AND(ISNUMBER(R32), ISNUMBER(R38)), INDEX('2.Distances'!E3:N227, (R32*15) + R38 + 1,5), NA())</f>
        <v>#N/A</v>
      </c>
      <c r="T35" t="e">
        <f>IF(AND(ISNUMBER(R32), ISNUMBER(R38)), INDEX('2.Distances'!E3:N227, (R32*15) + R38 + 1,6), NA())</f>
        <v>#N/A</v>
      </c>
      <c r="V35" t="e">
        <f>IF(AND(ISNUMBER(U32), ISNUMBER(U38)), INDEX('2.Distances'!E3:N227, (U32*15) + U38 + 1,5), NA())</f>
        <v>#N/A</v>
      </c>
      <c r="W35" t="e">
        <f>IF(AND(ISNUMBER(U32), ISNUMBER(U38)), INDEX('2.Distances'!E3:N227, (U32*15) + U38 + 1,6), NA())</f>
        <v>#N/A</v>
      </c>
    </row>
    <row r="36" spans="15:23" x14ac:dyDescent="0.2">
      <c r="P36">
        <f>IF(AND(ISNUMBER(O32), ISNUMBER(O38)), INDEX('2.Distances'!E3:N227, (O32*15) + O38 + 1,7), NA())</f>
        <v>37.804070000000003</v>
      </c>
      <c r="Q36">
        <f>IF(AND(ISNUMBER(O32), ISNUMBER(O38)), INDEX('2.Distances'!E3:N227, (O32*15) + O38 + 1,8), NA())</f>
        <v>128.90563</v>
      </c>
      <c r="S36" t="e">
        <f>IF(AND(ISNUMBER(R32), ISNUMBER(R38)), INDEX('2.Distances'!E3:N227, (R32*15) + R38 + 1,7), NA())</f>
        <v>#N/A</v>
      </c>
      <c r="T36" t="e">
        <f>IF(AND(ISNUMBER(R32), ISNUMBER(R38)), INDEX('2.Distances'!E3:N227, (R32*15) + R38 + 1,8), NA())</f>
        <v>#N/A</v>
      </c>
      <c r="V36" t="e">
        <f>IF(AND(ISNUMBER(U32), ISNUMBER(U38)), INDEX('2.Distances'!E3:N227, (U32*15) + U38 + 1,7), NA())</f>
        <v>#N/A</v>
      </c>
      <c r="W36" t="e">
        <f>IF(AND(ISNUMBER(U32), ISNUMBER(U38)), INDEX('2.Distances'!E3:N227, (U32*15) + U38 + 1,8), NA())</f>
        <v>#N/A</v>
      </c>
    </row>
    <row r="37" spans="15:23" x14ac:dyDescent="0.2">
      <c r="P37">
        <f>IF(AND(ISNUMBER(O32), ISNUMBER(O38)), INDEX('2.Distances'!E3:N227, (O32*15) + O38 + 1,9), NA())</f>
        <v>37.804340000000003</v>
      </c>
      <c r="Q37">
        <f>IF(AND(ISNUMBER(O32), ISNUMBER(O38)), INDEX('2.Distances'!E3:N227, (O32*15) + O38 + 1,10), NA())</f>
        <v>128.9066</v>
      </c>
      <c r="S37" t="e">
        <f>IF(AND(ISNUMBER(R32), ISNUMBER(R38)), INDEX('2.Distances'!E3:N227, (R32*15) + R38 + 1,9), NA())</f>
        <v>#N/A</v>
      </c>
      <c r="T37" t="e">
        <f>IF(AND(ISNUMBER(R32), ISNUMBER(R38)), INDEX('2.Distances'!E3:N227, (R32*15) + R38 + 1,10), NA())</f>
        <v>#N/A</v>
      </c>
      <c r="V37" t="e">
        <f>IF(AND(ISNUMBER(U32), ISNUMBER(U38)), INDEX('2.Distances'!E3:N227, (U32*15) + U38 + 1,9), NA())</f>
        <v>#N/A</v>
      </c>
      <c r="W37" t="e">
        <f>IF(AND(ISNUMBER(U32), ISNUMBER(U38)), INDEX('2.Distances'!E3:N227, (U32*15) + U38 + 1,10), NA())</f>
        <v>#N/A</v>
      </c>
    </row>
    <row r="38" spans="15:23" x14ac:dyDescent="0.2">
      <c r="O38">
        <f>'4.Solution'!C11</f>
        <v>14</v>
      </c>
      <c r="P38">
        <f>IFERROR(IF(ISNUMBER(O38),INDEX('1.Locations'!$D$2:$D$16,O38 + 1),NA()),NA())</f>
        <v>37.801506297194202</v>
      </c>
      <c r="Q38">
        <f>IFERROR(IF(ISNUMBER(O38),INDEX('1.Locations'!$E$2:$E$16,O38 + 1),NA()),NA())</f>
        <v>128.90875908361301</v>
      </c>
      <c r="R38" t="str">
        <f>'4.Solution'!T11</f>
        <v xml:space="preserve"> </v>
      </c>
      <c r="S38" t="e">
        <f>IFERROR(IF(ISNUMBER(R38),INDEX('1.Locations'!$D$2:$D$16,R38 + 1),NA()),NA())</f>
        <v>#N/A</v>
      </c>
      <c r="T38" t="e">
        <f>IFERROR(IF(ISNUMBER(R38),INDEX('1.Locations'!$E$2:$E$16,R38 + 1),NA()),NA())</f>
        <v>#N/A</v>
      </c>
      <c r="U38" t="str">
        <f>'4.Solution'!AK11</f>
        <v xml:space="preserve"> </v>
      </c>
      <c r="V38" t="e">
        <f>IFERROR(IF(ISNUMBER(U38),INDEX('1.Locations'!$D$2:$D$16,U38 + 1),NA()),NA())</f>
        <v>#N/A</v>
      </c>
      <c r="W38" t="e">
        <f>IFERROR(IF(ISNUMBER(U38),INDEX('1.Locations'!$E$2:$E$16,U38 + 1),NA()),NA())</f>
        <v>#N/A</v>
      </c>
    </row>
    <row r="39" spans="15:23" x14ac:dyDescent="0.2">
      <c r="P39">
        <f>IF(AND(ISNUMBER(O38), ISNUMBER(O44)), INDEX('2.Distances'!E3:N227, (O38*15) + O44 + 1,1), NA())</f>
        <v>37.802259999999997</v>
      </c>
      <c r="Q39">
        <f>IF(AND(ISNUMBER(O38), ISNUMBER(O44)), INDEX('2.Distances'!E3:N227, (O38*15) + O44 + 1,2), NA())</f>
        <v>128.90980999999999</v>
      </c>
      <c r="S39" t="e">
        <f>IF(AND(ISNUMBER(R38), ISNUMBER(R44)), INDEX('2.Distances'!E3:N227, (R38*15) + R44 + 1,1), NA())</f>
        <v>#N/A</v>
      </c>
      <c r="T39" t="e">
        <f>IF(AND(ISNUMBER(R38), ISNUMBER(R44)), INDEX('2.Distances'!E3:N227, (R38*15) + R44 + 1,2), NA())</f>
        <v>#N/A</v>
      </c>
      <c r="V39" t="e">
        <f>IF(AND(ISNUMBER(U38), ISNUMBER(U44)), INDEX('2.Distances'!E3:N227, (U38*15) + U44 + 1,1), NA())</f>
        <v>#N/A</v>
      </c>
      <c r="W39" t="e">
        <f>IF(AND(ISNUMBER(U38), ISNUMBER(U44)), INDEX('2.Distances'!E3:N227, (U38*15) + U44 + 1,2), NA())</f>
        <v>#N/A</v>
      </c>
    </row>
    <row r="40" spans="15:23" x14ac:dyDescent="0.2">
      <c r="P40">
        <f>IF(AND(ISNUMBER(O38), ISNUMBER(O44)), INDEX('2.Distances'!E3:N227, (O38*15) + O44 + 1,3), NA())</f>
        <v>37.802070000000001</v>
      </c>
      <c r="Q40">
        <f>IF(AND(ISNUMBER(O38), ISNUMBER(O44)), INDEX('2.Distances'!E3:N227, (O38*15) + O44 + 1,4), NA())</f>
        <v>128.91004000000001</v>
      </c>
      <c r="S40" t="e">
        <f>IF(AND(ISNUMBER(R38), ISNUMBER(R44)), INDEX('2.Distances'!E3:N227, (R38*15) + R44 + 1,3), NA())</f>
        <v>#N/A</v>
      </c>
      <c r="T40" t="e">
        <f>IF(AND(ISNUMBER(R38), ISNUMBER(R44)), INDEX('2.Distances'!E3:N227, (R38*15) + R44 + 1,4), NA())</f>
        <v>#N/A</v>
      </c>
      <c r="V40" t="e">
        <f>IF(AND(ISNUMBER(U38), ISNUMBER(U44)), INDEX('2.Distances'!E3:N227, (U38*15) + U44 + 1,3), NA())</f>
        <v>#N/A</v>
      </c>
      <c r="W40" t="e">
        <f>IF(AND(ISNUMBER(U38), ISNUMBER(U44)), INDEX('2.Distances'!E3:N227, (U38*15) + U44 + 1,4), NA())</f>
        <v>#N/A</v>
      </c>
    </row>
    <row r="41" spans="15:23" x14ac:dyDescent="0.2">
      <c r="P41">
        <f>IF(AND(ISNUMBER(O38), ISNUMBER(O44)), INDEX('2.Distances'!E3:N227, (O38*15) + O44 + 1,5), NA())</f>
        <v>37.801679999999998</v>
      </c>
      <c r="Q41">
        <f>IF(AND(ISNUMBER(O38), ISNUMBER(O44)), INDEX('2.Distances'!E3:N227, (O38*15) + O44 + 1,6), NA())</f>
        <v>128.91045</v>
      </c>
      <c r="S41" t="e">
        <f>IF(AND(ISNUMBER(R38), ISNUMBER(R44)), INDEX('2.Distances'!E3:N227, (R38*15) + R44 + 1,5), NA())</f>
        <v>#N/A</v>
      </c>
      <c r="T41" t="e">
        <f>IF(AND(ISNUMBER(R38), ISNUMBER(R44)), INDEX('2.Distances'!E3:N227, (R38*15) + R44 + 1,6), NA())</f>
        <v>#N/A</v>
      </c>
      <c r="V41" t="e">
        <f>IF(AND(ISNUMBER(U38), ISNUMBER(U44)), INDEX('2.Distances'!E3:N227, (U38*15) + U44 + 1,5), NA())</f>
        <v>#N/A</v>
      </c>
      <c r="W41" t="e">
        <f>IF(AND(ISNUMBER(U38), ISNUMBER(U44)), INDEX('2.Distances'!E3:N227, (U38*15) + U44 + 1,6), NA())</f>
        <v>#N/A</v>
      </c>
    </row>
    <row r="42" spans="15:23" x14ac:dyDescent="0.2">
      <c r="P42">
        <f>IF(AND(ISNUMBER(O38), ISNUMBER(O44)), INDEX('2.Distances'!E3:N227, (O38*15) + O44 + 1,7), NA())</f>
        <v>37.801319999999997</v>
      </c>
      <c r="Q42">
        <f>IF(AND(ISNUMBER(O38), ISNUMBER(O44)), INDEX('2.Distances'!E3:N227, (O38*15) + O44 + 1,8), NA())</f>
        <v>128.91075000000001</v>
      </c>
      <c r="S42" t="e">
        <f>IF(AND(ISNUMBER(R38), ISNUMBER(R44)), INDEX('2.Distances'!E3:N227, (R38*15) + R44 + 1,7), NA())</f>
        <v>#N/A</v>
      </c>
      <c r="T42" t="e">
        <f>IF(AND(ISNUMBER(R38), ISNUMBER(R44)), INDEX('2.Distances'!E3:N227, (R38*15) + R44 + 1,8), NA())</f>
        <v>#N/A</v>
      </c>
      <c r="V42" t="e">
        <f>IF(AND(ISNUMBER(U38), ISNUMBER(U44)), INDEX('2.Distances'!E3:N227, (U38*15) + U44 + 1,7), NA())</f>
        <v>#N/A</v>
      </c>
      <c r="W42" t="e">
        <f>IF(AND(ISNUMBER(U38), ISNUMBER(U44)), INDEX('2.Distances'!E3:N227, (U38*15) + U44 + 1,8), NA())</f>
        <v>#N/A</v>
      </c>
    </row>
    <row r="43" spans="15:23" x14ac:dyDescent="0.2">
      <c r="P43">
        <f>IF(AND(ISNUMBER(O38), ISNUMBER(O44)), INDEX('2.Distances'!E3:N227, (O38*15) + O44 + 1,9), NA())</f>
        <v>37.800930000000001</v>
      </c>
      <c r="Q43">
        <f>IF(AND(ISNUMBER(O38), ISNUMBER(O44)), INDEX('2.Distances'!E3:N227, (O38*15) + O44 + 1,10), NA())</f>
        <v>128.911</v>
      </c>
      <c r="S43" t="e">
        <f>IF(AND(ISNUMBER(R38), ISNUMBER(R44)), INDEX('2.Distances'!E3:N227, (R38*15) + R44 + 1,9), NA())</f>
        <v>#N/A</v>
      </c>
      <c r="T43" t="e">
        <f>IF(AND(ISNUMBER(R38), ISNUMBER(R44)), INDEX('2.Distances'!E3:N227, (R38*15) + R44 + 1,10), NA())</f>
        <v>#N/A</v>
      </c>
      <c r="V43" t="e">
        <f>IF(AND(ISNUMBER(U38), ISNUMBER(U44)), INDEX('2.Distances'!E3:N227, (U38*15) + U44 + 1,9), NA())</f>
        <v>#N/A</v>
      </c>
      <c r="W43" t="e">
        <f>IF(AND(ISNUMBER(U38), ISNUMBER(U44)), INDEX('2.Distances'!E3:N227, (U38*15) + U44 + 1,10), NA())</f>
        <v>#N/A</v>
      </c>
    </row>
    <row r="44" spans="15:23" x14ac:dyDescent="0.2">
      <c r="O44">
        <f>'4.Solution'!C12</f>
        <v>4</v>
      </c>
      <c r="P44">
        <f>IFERROR(IF(ISNUMBER(O44),INDEX('1.Locations'!$D$2:$D$16,O44 + 1),NA()),NA())</f>
        <v>37.800448038716702</v>
      </c>
      <c r="Q44">
        <f>IFERROR(IF(ISNUMBER(O44),INDEX('1.Locations'!$E$2:$E$16,O44 + 1),NA()),NA())</f>
        <v>128.91126708569601</v>
      </c>
      <c r="R44" t="str">
        <f>'4.Solution'!T12</f>
        <v xml:space="preserve"> </v>
      </c>
      <c r="S44" t="e">
        <f>IFERROR(IF(ISNUMBER(R44),INDEX('1.Locations'!$D$2:$D$16,R44 + 1),NA()),NA())</f>
        <v>#N/A</v>
      </c>
      <c r="T44" t="e">
        <f>IFERROR(IF(ISNUMBER(R44),INDEX('1.Locations'!$E$2:$E$16,R44 + 1),NA()),NA())</f>
        <v>#N/A</v>
      </c>
      <c r="U44" t="str">
        <f>'4.Solution'!AK12</f>
        <v xml:space="preserve"> </v>
      </c>
      <c r="V44" t="e">
        <f>IFERROR(IF(ISNUMBER(U44),INDEX('1.Locations'!$D$2:$D$16,U44 + 1),NA()),NA())</f>
        <v>#N/A</v>
      </c>
      <c r="W44" t="e">
        <f>IFERROR(IF(ISNUMBER(U44),INDEX('1.Locations'!$E$2:$E$16,U44 + 1),NA()),NA())</f>
        <v>#N/A</v>
      </c>
    </row>
    <row r="45" spans="15:23" x14ac:dyDescent="0.2">
      <c r="P45">
        <f>IF(AND(ISNUMBER(O44), ISNUMBER(O50)), INDEX('2.Distances'!E3:N227, (O44*15) + O50 + 1,1), NA())</f>
        <v>37.798479999999998</v>
      </c>
      <c r="Q45">
        <f>IF(AND(ISNUMBER(O44), ISNUMBER(O50)), INDEX('2.Distances'!E3:N227, (O44*15) + O50 + 1,2), NA())</f>
        <v>128.91172</v>
      </c>
      <c r="S45" t="e">
        <f>IF(AND(ISNUMBER(R44), ISNUMBER(R50)), INDEX('2.Distances'!E3:N227, (R44*15) + R50 + 1,1), NA())</f>
        <v>#N/A</v>
      </c>
      <c r="T45" t="e">
        <f>IF(AND(ISNUMBER(R44), ISNUMBER(R50)), INDEX('2.Distances'!E3:N227, (R44*15) + R50 + 1,2), NA())</f>
        <v>#N/A</v>
      </c>
      <c r="V45" t="e">
        <f>IF(AND(ISNUMBER(U44), ISNUMBER(U50)), INDEX('2.Distances'!E3:N227, (U44*15) + U50 + 1,1), NA())</f>
        <v>#N/A</v>
      </c>
      <c r="W45" t="e">
        <f>IF(AND(ISNUMBER(U44), ISNUMBER(U50)), INDEX('2.Distances'!E3:N227, (U44*15) + U50 + 1,2), NA())</f>
        <v>#N/A</v>
      </c>
    </row>
    <row r="46" spans="15:23" x14ac:dyDescent="0.2">
      <c r="P46">
        <f>IF(AND(ISNUMBER(O44), ISNUMBER(O50)), INDEX('2.Distances'!E3:N227, (O44*15) + O50 + 1,3), NA())</f>
        <v>37.797499999999999</v>
      </c>
      <c r="Q46">
        <f>IF(AND(ISNUMBER(O44), ISNUMBER(O50)), INDEX('2.Distances'!E3:N227, (O44*15) + O50 + 1,4), NA())</f>
        <v>128.91194999999999</v>
      </c>
      <c r="S46" t="e">
        <f>IF(AND(ISNUMBER(R44), ISNUMBER(R50)), INDEX('2.Distances'!E3:N227, (R44*15) + R50 + 1,3), NA())</f>
        <v>#N/A</v>
      </c>
      <c r="T46" t="e">
        <f>IF(AND(ISNUMBER(R44), ISNUMBER(R50)), INDEX('2.Distances'!E3:N227, (R44*15) + R50 + 1,4), NA())</f>
        <v>#N/A</v>
      </c>
      <c r="V46" t="e">
        <f>IF(AND(ISNUMBER(U44), ISNUMBER(U50)), INDEX('2.Distances'!E3:N227, (U44*15) + U50 + 1,3), NA())</f>
        <v>#N/A</v>
      </c>
      <c r="W46" t="e">
        <f>IF(AND(ISNUMBER(U44), ISNUMBER(U50)), INDEX('2.Distances'!E3:N227, (U44*15) + U50 + 1,4), NA())</f>
        <v>#N/A</v>
      </c>
    </row>
    <row r="47" spans="15:23" x14ac:dyDescent="0.2">
      <c r="P47">
        <f>IF(AND(ISNUMBER(O44), ISNUMBER(O50)), INDEX('2.Distances'!E3:N227, (O44*15) + O50 + 1,5), NA())</f>
        <v>37.79692</v>
      </c>
      <c r="Q47">
        <f>IF(AND(ISNUMBER(O44), ISNUMBER(O50)), INDEX('2.Distances'!E3:N227, (O44*15) + O50 + 1,6), NA())</f>
        <v>128.91209000000001</v>
      </c>
      <c r="S47" t="e">
        <f>IF(AND(ISNUMBER(R44), ISNUMBER(R50)), INDEX('2.Distances'!E3:N227, (R44*15) + R50 + 1,5), NA())</f>
        <v>#N/A</v>
      </c>
      <c r="T47" t="e">
        <f>IF(AND(ISNUMBER(R44), ISNUMBER(R50)), INDEX('2.Distances'!E3:N227, (R44*15) + R50 + 1,6), NA())</f>
        <v>#N/A</v>
      </c>
      <c r="V47" t="e">
        <f>IF(AND(ISNUMBER(U44), ISNUMBER(U50)), INDEX('2.Distances'!E3:N227, (U44*15) + U50 + 1,5), NA())</f>
        <v>#N/A</v>
      </c>
      <c r="W47" t="e">
        <f>IF(AND(ISNUMBER(U44), ISNUMBER(U50)), INDEX('2.Distances'!E3:N227, (U44*15) + U50 + 1,6), NA())</f>
        <v>#N/A</v>
      </c>
    </row>
    <row r="48" spans="15:23" x14ac:dyDescent="0.2">
      <c r="P48">
        <f>IF(AND(ISNUMBER(O44), ISNUMBER(O50)), INDEX('2.Distances'!E3:N227, (O44*15) + O50 + 1,7), NA())</f>
        <v>37.79645</v>
      </c>
      <c r="Q48">
        <f>IF(AND(ISNUMBER(O44), ISNUMBER(O50)), INDEX('2.Distances'!E3:N227, (O44*15) + O50 + 1,8), NA())</f>
        <v>128.91228000000001</v>
      </c>
      <c r="S48" t="e">
        <f>IF(AND(ISNUMBER(R44), ISNUMBER(R50)), INDEX('2.Distances'!E3:N227, (R44*15) + R50 + 1,7), NA())</f>
        <v>#N/A</v>
      </c>
      <c r="T48" t="e">
        <f>IF(AND(ISNUMBER(R44), ISNUMBER(R50)), INDEX('2.Distances'!E3:N227, (R44*15) + R50 + 1,8), NA())</f>
        <v>#N/A</v>
      </c>
      <c r="V48" t="e">
        <f>IF(AND(ISNUMBER(U44), ISNUMBER(U50)), INDEX('2.Distances'!E3:N227, (U44*15) + U50 + 1,7), NA())</f>
        <v>#N/A</v>
      </c>
      <c r="W48" t="e">
        <f>IF(AND(ISNUMBER(U44), ISNUMBER(U50)), INDEX('2.Distances'!E3:N227, (U44*15) + U50 + 1,8), NA())</f>
        <v>#N/A</v>
      </c>
    </row>
    <row r="49" spans="15:23" x14ac:dyDescent="0.2">
      <c r="P49">
        <f>IF(AND(ISNUMBER(O44), ISNUMBER(O50)), INDEX('2.Distances'!E3:N227, (O44*15) + O50 + 1,9), NA())</f>
        <v>37.79589</v>
      </c>
      <c r="Q49">
        <f>IF(AND(ISNUMBER(O44), ISNUMBER(O50)), INDEX('2.Distances'!E3:N227, (O44*15) + O50 + 1,10), NA())</f>
        <v>128.91283000000001</v>
      </c>
      <c r="S49" t="e">
        <f>IF(AND(ISNUMBER(R44), ISNUMBER(R50)), INDEX('2.Distances'!E3:N227, (R44*15) + R50 + 1,9), NA())</f>
        <v>#N/A</v>
      </c>
      <c r="T49" t="e">
        <f>IF(AND(ISNUMBER(R44), ISNUMBER(R50)), INDEX('2.Distances'!E3:N227, (R44*15) + R50 + 1,10), NA())</f>
        <v>#N/A</v>
      </c>
      <c r="V49" t="e">
        <f>IF(AND(ISNUMBER(U44), ISNUMBER(U50)), INDEX('2.Distances'!E3:N227, (U44*15) + U50 + 1,9), NA())</f>
        <v>#N/A</v>
      </c>
      <c r="W49" t="e">
        <f>IF(AND(ISNUMBER(U44), ISNUMBER(U50)), INDEX('2.Distances'!E3:N227, (U44*15) + U50 + 1,10), NA())</f>
        <v>#N/A</v>
      </c>
    </row>
    <row r="50" spans="15:23" x14ac:dyDescent="0.2">
      <c r="O50">
        <f>'4.Solution'!C13</f>
        <v>1</v>
      </c>
      <c r="P50">
        <f>IFERROR(IF(ISNUMBER(O50),INDEX('1.Locations'!$D$2:$D$16,O50 + 1),NA()),NA())</f>
        <v>37.795178163769201</v>
      </c>
      <c r="Q50">
        <f>IFERROR(IF(ISNUMBER(O50),INDEX('1.Locations'!$E$2:$E$16,O50 + 1),NA()),NA())</f>
        <v>128.916161884438</v>
      </c>
      <c r="R50" t="str">
        <f>'4.Solution'!T13</f>
        <v xml:space="preserve"> </v>
      </c>
      <c r="S50" t="e">
        <f>IFERROR(IF(ISNUMBER(R50),INDEX('1.Locations'!$D$2:$D$16,R50 + 1),NA()),NA())</f>
        <v>#N/A</v>
      </c>
      <c r="T50" t="e">
        <f>IFERROR(IF(ISNUMBER(R50),INDEX('1.Locations'!$E$2:$E$16,R50 + 1),NA()),NA())</f>
        <v>#N/A</v>
      </c>
      <c r="U50" t="str">
        <f>'4.Solution'!AK13</f>
        <v xml:space="preserve"> </v>
      </c>
      <c r="V50" t="e">
        <f>IFERROR(IF(ISNUMBER(U50),INDEX('1.Locations'!$D$2:$D$16,U50 + 1),NA()),NA())</f>
        <v>#N/A</v>
      </c>
      <c r="W50" t="e">
        <f>IFERROR(IF(ISNUMBER(U50),INDEX('1.Locations'!$E$2:$E$16,U50 + 1),NA()),NA())</f>
        <v>#N/A</v>
      </c>
    </row>
    <row r="51" spans="15:23" x14ac:dyDescent="0.2">
      <c r="P51">
        <f>IF(AND(ISNUMBER(O50), ISNUMBER(O56)), INDEX('2.Distances'!E3:N227, (O50*15) + O56 + 1,1), NA())</f>
        <v>37.795409999999997</v>
      </c>
      <c r="Q51">
        <f>IF(AND(ISNUMBER(O50), ISNUMBER(O56)), INDEX('2.Distances'!E3:N227, (O50*15) + O56 + 1,2), NA())</f>
        <v>128.91685000000001</v>
      </c>
      <c r="S51" t="e">
        <f>IF(AND(ISNUMBER(R50), ISNUMBER(R56)), INDEX('2.Distances'!E3:N227, (R50*15) + R56 + 1,1), NA())</f>
        <v>#N/A</v>
      </c>
      <c r="T51" t="e">
        <f>IF(AND(ISNUMBER(R50), ISNUMBER(R56)), INDEX('2.Distances'!E3:N227, (R50*15) + R56 + 1,2), NA())</f>
        <v>#N/A</v>
      </c>
      <c r="V51" t="e">
        <f>IF(AND(ISNUMBER(U50), ISNUMBER(U56)), INDEX('2.Distances'!E3:N227, (U50*15) + U56 + 1,1), NA())</f>
        <v>#N/A</v>
      </c>
      <c r="W51" t="e">
        <f>IF(AND(ISNUMBER(U50), ISNUMBER(U56)), INDEX('2.Distances'!E3:N227, (U50*15) + U56 + 1,2), NA())</f>
        <v>#N/A</v>
      </c>
    </row>
    <row r="52" spans="15:23" x14ac:dyDescent="0.2">
      <c r="P52">
        <f>IF(AND(ISNUMBER(O50), ISNUMBER(O56)), INDEX('2.Distances'!E3:N227, (O50*15) + O56 + 1,3), NA())</f>
        <v>37.795079999999999</v>
      </c>
      <c r="Q52">
        <f>IF(AND(ISNUMBER(O50), ISNUMBER(O56)), INDEX('2.Distances'!E3:N227, (O50*15) + O56 + 1,4), NA())</f>
        <v>128.91720000000001</v>
      </c>
      <c r="S52" t="e">
        <f>IF(AND(ISNUMBER(R50), ISNUMBER(R56)), INDEX('2.Distances'!E3:N227, (R50*15) + R56 + 1,3), NA())</f>
        <v>#N/A</v>
      </c>
      <c r="T52" t="e">
        <f>IF(AND(ISNUMBER(R50), ISNUMBER(R56)), INDEX('2.Distances'!E3:N227, (R50*15) + R56 + 1,4), NA())</f>
        <v>#N/A</v>
      </c>
      <c r="V52" t="e">
        <f>IF(AND(ISNUMBER(U50), ISNUMBER(U56)), INDEX('2.Distances'!E3:N227, (U50*15) + U56 + 1,3), NA())</f>
        <v>#N/A</v>
      </c>
      <c r="W52" t="e">
        <f>IF(AND(ISNUMBER(U50), ISNUMBER(U56)), INDEX('2.Distances'!E3:N227, (U50*15) + U56 + 1,4), NA())</f>
        <v>#N/A</v>
      </c>
    </row>
    <row r="53" spans="15:23" x14ac:dyDescent="0.2">
      <c r="P53">
        <f>IF(AND(ISNUMBER(O50), ISNUMBER(O56)), INDEX('2.Distances'!E3:N227, (O50*15) + O56 + 1,5), NA())</f>
        <v>37.794780000000003</v>
      </c>
      <c r="Q53">
        <f>IF(AND(ISNUMBER(O50), ISNUMBER(O56)), INDEX('2.Distances'!E3:N227, (O50*15) + O56 + 1,6), NA())</f>
        <v>128.91783000000001</v>
      </c>
      <c r="S53" t="e">
        <f>IF(AND(ISNUMBER(R50), ISNUMBER(R56)), INDEX('2.Distances'!E3:N227, (R50*15) + R56 + 1,5), NA())</f>
        <v>#N/A</v>
      </c>
      <c r="T53" t="e">
        <f>IF(AND(ISNUMBER(R50), ISNUMBER(R56)), INDEX('2.Distances'!E3:N227, (R50*15) + R56 + 1,6), NA())</f>
        <v>#N/A</v>
      </c>
      <c r="V53" t="e">
        <f>IF(AND(ISNUMBER(U50), ISNUMBER(U56)), INDEX('2.Distances'!E3:N227, (U50*15) + U56 + 1,5), NA())</f>
        <v>#N/A</v>
      </c>
      <c r="W53" t="e">
        <f>IF(AND(ISNUMBER(U50), ISNUMBER(U56)), INDEX('2.Distances'!E3:N227, (U50*15) + U56 + 1,6), NA())</f>
        <v>#N/A</v>
      </c>
    </row>
    <row r="54" spans="15:23" x14ac:dyDescent="0.2">
      <c r="P54">
        <f>IF(AND(ISNUMBER(O50), ISNUMBER(O56)), INDEX('2.Distances'!E3:N227, (O50*15) + O56 + 1,7), NA())</f>
        <v>37.79457</v>
      </c>
      <c r="Q54">
        <f>IF(AND(ISNUMBER(O50), ISNUMBER(O56)), INDEX('2.Distances'!E3:N227, (O50*15) + O56 + 1,8), NA())</f>
        <v>128.91839999999999</v>
      </c>
      <c r="S54" t="e">
        <f>IF(AND(ISNUMBER(R50), ISNUMBER(R56)), INDEX('2.Distances'!E3:N227, (R50*15) + R56 + 1,7), NA())</f>
        <v>#N/A</v>
      </c>
      <c r="T54" t="e">
        <f>IF(AND(ISNUMBER(R50), ISNUMBER(R56)), INDEX('2.Distances'!E3:N227, (R50*15) + R56 + 1,8), NA())</f>
        <v>#N/A</v>
      </c>
      <c r="V54" t="e">
        <f>IF(AND(ISNUMBER(U50), ISNUMBER(U56)), INDEX('2.Distances'!E3:N227, (U50*15) + U56 + 1,7), NA())</f>
        <v>#N/A</v>
      </c>
      <c r="W54" t="e">
        <f>IF(AND(ISNUMBER(U50), ISNUMBER(U56)), INDEX('2.Distances'!E3:N227, (U50*15) + U56 + 1,8), NA())</f>
        <v>#N/A</v>
      </c>
    </row>
    <row r="55" spans="15:23" x14ac:dyDescent="0.2">
      <c r="P55">
        <f>IF(AND(ISNUMBER(O50), ISNUMBER(O56)), INDEX('2.Distances'!E3:N227, (O50*15) + O56 + 1,9), NA())</f>
        <v>37.7941</v>
      </c>
      <c r="Q55">
        <f>IF(AND(ISNUMBER(O50), ISNUMBER(O56)), INDEX('2.Distances'!E3:N227, (O50*15) + O56 + 1,10), NA())</f>
        <v>128.91887</v>
      </c>
      <c r="S55" t="e">
        <f>IF(AND(ISNUMBER(R50), ISNUMBER(R56)), INDEX('2.Distances'!E3:N227, (R50*15) + R56 + 1,9), NA())</f>
        <v>#N/A</v>
      </c>
      <c r="T55" t="e">
        <f>IF(AND(ISNUMBER(R50), ISNUMBER(R56)), INDEX('2.Distances'!E3:N227, (R50*15) + R56 + 1,10), NA())</f>
        <v>#N/A</v>
      </c>
      <c r="V55" t="e">
        <f>IF(AND(ISNUMBER(U50), ISNUMBER(U56)), INDEX('2.Distances'!E3:N227, (U50*15) + U56 + 1,9), NA())</f>
        <v>#N/A</v>
      </c>
      <c r="W55" t="e">
        <f>IF(AND(ISNUMBER(U50), ISNUMBER(U56)), INDEX('2.Distances'!E3:N227, (U50*15) + U56 + 1,10), NA())</f>
        <v>#N/A</v>
      </c>
    </row>
    <row r="56" spans="15:23" x14ac:dyDescent="0.2">
      <c r="O56">
        <f>'4.Solution'!C14</f>
        <v>12</v>
      </c>
      <c r="P56">
        <f>IFERROR(IF(ISNUMBER(O56),INDEX('1.Locations'!$D$2:$D$16,O56 + 1),NA()),NA())</f>
        <v>37.790937549453801</v>
      </c>
      <c r="Q56">
        <f>IFERROR(IF(ISNUMBER(O56),INDEX('1.Locations'!$E$2:$E$16,O56 + 1),NA()),NA())</f>
        <v>128.92172560899601</v>
      </c>
      <c r="R56" t="str">
        <f>'4.Solution'!T14</f>
        <v xml:space="preserve"> </v>
      </c>
      <c r="S56" t="e">
        <f>IFERROR(IF(ISNUMBER(R56),INDEX('1.Locations'!$D$2:$D$16,R56 + 1),NA()),NA())</f>
        <v>#N/A</v>
      </c>
      <c r="T56" t="e">
        <f>IFERROR(IF(ISNUMBER(R56),INDEX('1.Locations'!$E$2:$E$16,R56 + 1),NA()),NA())</f>
        <v>#N/A</v>
      </c>
      <c r="U56" t="str">
        <f>'4.Solution'!AK14</f>
        <v xml:space="preserve"> </v>
      </c>
      <c r="V56" t="e">
        <f>IFERROR(IF(ISNUMBER(U56),INDEX('1.Locations'!$D$2:$D$16,U56 + 1),NA()),NA())</f>
        <v>#N/A</v>
      </c>
      <c r="W56" t="e">
        <f>IFERROR(IF(ISNUMBER(U56),INDEX('1.Locations'!$E$2:$E$16,U56 + 1),NA()),NA())</f>
        <v>#N/A</v>
      </c>
    </row>
    <row r="57" spans="15:23" x14ac:dyDescent="0.2">
      <c r="P57">
        <f>IF(AND(ISNUMBER(O56), ISNUMBER(O62)), INDEX('2.Distances'!E3:N227, (O56*15) + O62 + 1,1), NA())</f>
        <v>37.788939999999997</v>
      </c>
      <c r="Q57">
        <f>IF(AND(ISNUMBER(O56), ISNUMBER(O62)), INDEX('2.Distances'!E3:N227, (O56*15) + O62 + 1,2), NA())</f>
        <v>128.92410000000001</v>
      </c>
      <c r="S57" t="e">
        <f>IF(AND(ISNUMBER(R56), ISNUMBER(R62)), INDEX('2.Distances'!E3:N227, (R56*15) + R62 + 1,1), NA())</f>
        <v>#N/A</v>
      </c>
      <c r="T57" t="e">
        <f>IF(AND(ISNUMBER(R56), ISNUMBER(R62)), INDEX('2.Distances'!E3:N227, (R56*15) + R62 + 1,2), NA())</f>
        <v>#N/A</v>
      </c>
      <c r="V57" t="e">
        <f>IF(AND(ISNUMBER(U56), ISNUMBER(U62)), INDEX('2.Distances'!E3:N227, (U56*15) + U62 + 1,1), NA())</f>
        <v>#N/A</v>
      </c>
      <c r="W57" t="e">
        <f>IF(AND(ISNUMBER(U56), ISNUMBER(U62)), INDEX('2.Distances'!E3:N227, (U56*15) + U62 + 1,2), NA())</f>
        <v>#N/A</v>
      </c>
    </row>
    <row r="58" spans="15:23" x14ac:dyDescent="0.2">
      <c r="P58">
        <f>IF(AND(ISNUMBER(O56), ISNUMBER(O62)), INDEX('2.Distances'!E3:N227, (O56*15) + O62 + 1,3), NA())</f>
        <v>37.787370000000003</v>
      </c>
      <c r="Q58">
        <f>IF(AND(ISNUMBER(O56), ISNUMBER(O62)), INDEX('2.Distances'!E3:N227, (O56*15) + O62 + 1,4), NA())</f>
        <v>128.92657</v>
      </c>
      <c r="S58" t="e">
        <f>IF(AND(ISNUMBER(R56), ISNUMBER(R62)), INDEX('2.Distances'!E3:N227, (R56*15) + R62 + 1,3), NA())</f>
        <v>#N/A</v>
      </c>
      <c r="T58" t="e">
        <f>IF(AND(ISNUMBER(R56), ISNUMBER(R62)), INDEX('2.Distances'!E3:N227, (R56*15) + R62 + 1,4), NA())</f>
        <v>#N/A</v>
      </c>
      <c r="V58" t="e">
        <f>IF(AND(ISNUMBER(U56), ISNUMBER(U62)), INDEX('2.Distances'!E3:N227, (U56*15) + U62 + 1,3), NA())</f>
        <v>#N/A</v>
      </c>
      <c r="W58" t="e">
        <f>IF(AND(ISNUMBER(U56), ISNUMBER(U62)), INDEX('2.Distances'!E3:N227, (U56*15) + U62 + 1,4), NA())</f>
        <v>#N/A</v>
      </c>
    </row>
    <row r="59" spans="15:23" x14ac:dyDescent="0.2">
      <c r="P59">
        <f>IF(AND(ISNUMBER(O56), ISNUMBER(O62)), INDEX('2.Distances'!E3:N227, (O56*15) + O62 + 1,5), NA())</f>
        <v>37.78698</v>
      </c>
      <c r="Q59">
        <f>IF(AND(ISNUMBER(O56), ISNUMBER(O62)), INDEX('2.Distances'!E3:N227, (O56*15) + O62 + 1,6), NA())</f>
        <v>128.92773</v>
      </c>
      <c r="S59" t="e">
        <f>IF(AND(ISNUMBER(R56), ISNUMBER(R62)), INDEX('2.Distances'!E3:N227, (R56*15) + R62 + 1,5), NA())</f>
        <v>#N/A</v>
      </c>
      <c r="T59" t="e">
        <f>IF(AND(ISNUMBER(R56), ISNUMBER(R62)), INDEX('2.Distances'!E3:N227, (R56*15) + R62 + 1,6), NA())</f>
        <v>#N/A</v>
      </c>
      <c r="V59" t="e">
        <f>IF(AND(ISNUMBER(U56), ISNUMBER(U62)), INDEX('2.Distances'!E3:N227, (U56*15) + U62 + 1,5), NA())</f>
        <v>#N/A</v>
      </c>
      <c r="W59" t="e">
        <f>IF(AND(ISNUMBER(U56), ISNUMBER(U62)), INDEX('2.Distances'!E3:N227, (U56*15) + U62 + 1,6), NA())</f>
        <v>#N/A</v>
      </c>
    </row>
    <row r="60" spans="15:23" x14ac:dyDescent="0.2">
      <c r="P60">
        <f>IF(AND(ISNUMBER(O56), ISNUMBER(O62)), INDEX('2.Distances'!E3:N227, (O56*15) + O62 + 1,7), NA())</f>
        <v>37.784829999999999</v>
      </c>
      <c r="Q60">
        <f>IF(AND(ISNUMBER(O56), ISNUMBER(O62)), INDEX('2.Distances'!E3:N227, (O56*15) + O62 + 1,8), NA())</f>
        <v>128.93037000000001</v>
      </c>
      <c r="S60" t="e">
        <f>IF(AND(ISNUMBER(R56), ISNUMBER(R62)), INDEX('2.Distances'!E3:N227, (R56*15) + R62 + 1,7), NA())</f>
        <v>#N/A</v>
      </c>
      <c r="T60" t="e">
        <f>IF(AND(ISNUMBER(R56), ISNUMBER(R62)), INDEX('2.Distances'!E3:N227, (R56*15) + R62 + 1,8), NA())</f>
        <v>#N/A</v>
      </c>
      <c r="V60" t="e">
        <f>IF(AND(ISNUMBER(U56), ISNUMBER(U62)), INDEX('2.Distances'!E3:N227, (U56*15) + U62 + 1,7), NA())</f>
        <v>#N/A</v>
      </c>
      <c r="W60" t="e">
        <f>IF(AND(ISNUMBER(U56), ISNUMBER(U62)), INDEX('2.Distances'!E3:N227, (U56*15) + U62 + 1,8), NA())</f>
        <v>#N/A</v>
      </c>
    </row>
    <row r="61" spans="15:23" x14ac:dyDescent="0.2">
      <c r="P61">
        <f>IF(AND(ISNUMBER(O56), ISNUMBER(O62)), INDEX('2.Distances'!E3:N227, (O56*15) + O62 + 1,9), NA())</f>
        <v>37.78199</v>
      </c>
      <c r="Q61">
        <f>IF(AND(ISNUMBER(O56), ISNUMBER(O62)), INDEX('2.Distances'!E3:N227, (O56*15) + O62 + 1,10), NA())</f>
        <v>128.93429</v>
      </c>
      <c r="S61" t="e">
        <f>IF(AND(ISNUMBER(R56), ISNUMBER(R62)), INDEX('2.Distances'!E3:N227, (R56*15) + R62 + 1,9), NA())</f>
        <v>#N/A</v>
      </c>
      <c r="T61" t="e">
        <f>IF(AND(ISNUMBER(R56), ISNUMBER(R62)), INDEX('2.Distances'!E3:N227, (R56*15) + R62 + 1,10), NA())</f>
        <v>#N/A</v>
      </c>
      <c r="V61" t="e">
        <f>IF(AND(ISNUMBER(U56), ISNUMBER(U62)), INDEX('2.Distances'!E3:N227, (U56*15) + U62 + 1,9), NA())</f>
        <v>#N/A</v>
      </c>
      <c r="W61" t="e">
        <f>IF(AND(ISNUMBER(U56), ISNUMBER(U62)), INDEX('2.Distances'!E3:N227, (U56*15) + U62 + 1,10), NA())</f>
        <v>#N/A</v>
      </c>
    </row>
    <row r="62" spans="15:23" x14ac:dyDescent="0.2">
      <c r="O62">
        <f>'4.Solution'!C15</f>
        <v>11</v>
      </c>
      <c r="P62">
        <f>IFERROR(IF(ISNUMBER(O62),INDEX('1.Locations'!$D$2:$D$16,O62 + 1),NA()),NA())</f>
        <v>37.778814783004002</v>
      </c>
      <c r="Q62">
        <f>IFERROR(IF(ISNUMBER(O62),INDEX('1.Locations'!$E$2:$E$16,O62 + 1),NA()),NA())</f>
        <v>128.938654960294</v>
      </c>
      <c r="R62" t="str">
        <f>'4.Solution'!T15</f>
        <v xml:space="preserve"> </v>
      </c>
      <c r="S62" t="e">
        <f>IFERROR(IF(ISNUMBER(R62),INDEX('1.Locations'!$D$2:$D$16,R62 + 1),NA()),NA())</f>
        <v>#N/A</v>
      </c>
      <c r="T62" t="e">
        <f>IFERROR(IF(ISNUMBER(R62),INDEX('1.Locations'!$E$2:$E$16,R62 + 1),NA()),NA())</f>
        <v>#N/A</v>
      </c>
      <c r="U62" t="str">
        <f>'4.Solution'!AK15</f>
        <v xml:space="preserve"> </v>
      </c>
      <c r="V62" t="e">
        <f>IFERROR(IF(ISNUMBER(U62),INDEX('1.Locations'!$D$2:$D$16,U62 + 1),NA()),NA())</f>
        <v>#N/A</v>
      </c>
      <c r="W62" t="e">
        <f>IFERROR(IF(ISNUMBER(U62),INDEX('1.Locations'!$E$2:$E$16,U62 + 1),NA()),NA())</f>
        <v>#N/A</v>
      </c>
    </row>
    <row r="63" spans="15:23" x14ac:dyDescent="0.2">
      <c r="P63">
        <f>IF(AND(ISNUMBER(O62), ISNUMBER(O68)), INDEX('2.Distances'!E3:N227, (O62*15) + O68 + 1,1), NA())</f>
        <v>37.778820000000003</v>
      </c>
      <c r="Q63">
        <f>IF(AND(ISNUMBER(O62), ISNUMBER(O68)), INDEX('2.Distances'!E3:N227, (O62*15) + O68 + 1,2), NA())</f>
        <v>128.93866</v>
      </c>
      <c r="S63" t="e">
        <f>IF(AND(ISNUMBER(R62), ISNUMBER(R68)), INDEX('2.Distances'!E3:N227, (R62*15) + R68 + 1,1), NA())</f>
        <v>#N/A</v>
      </c>
      <c r="T63" t="e">
        <f>IF(AND(ISNUMBER(R62), ISNUMBER(R68)), INDEX('2.Distances'!E3:N227, (R62*15) + R68 + 1,2), NA())</f>
        <v>#N/A</v>
      </c>
      <c r="V63" t="e">
        <f>IF(AND(ISNUMBER(U62), ISNUMBER(U68)), INDEX('2.Distances'!E3:N227, (U62*15) + U68 + 1,1), NA())</f>
        <v>#N/A</v>
      </c>
      <c r="W63" t="e">
        <f>IF(AND(ISNUMBER(U62), ISNUMBER(U68)), INDEX('2.Distances'!E3:N227, (U62*15) + U68 + 1,2), NA())</f>
        <v>#N/A</v>
      </c>
    </row>
    <row r="64" spans="15:23" x14ac:dyDescent="0.2">
      <c r="P64">
        <f>IF(AND(ISNUMBER(O62), ISNUMBER(O68)), INDEX('2.Distances'!E3:N227, (O62*15) + O68 + 1,3), NA())</f>
        <v>37.778730000000003</v>
      </c>
      <c r="Q64">
        <f>IF(AND(ISNUMBER(O62), ISNUMBER(O68)), INDEX('2.Distances'!E3:N227, (O62*15) + O68 + 1,4), NA())</f>
        <v>128.93878000000001</v>
      </c>
      <c r="S64" t="e">
        <f>IF(AND(ISNUMBER(R62), ISNUMBER(R68)), INDEX('2.Distances'!E3:N227, (R62*15) + R68 + 1,3), NA())</f>
        <v>#N/A</v>
      </c>
      <c r="T64" t="e">
        <f>IF(AND(ISNUMBER(R62), ISNUMBER(R68)), INDEX('2.Distances'!E3:N227, (R62*15) + R68 + 1,4), NA())</f>
        <v>#N/A</v>
      </c>
      <c r="V64" t="e">
        <f>IF(AND(ISNUMBER(U62), ISNUMBER(U68)), INDEX('2.Distances'!E3:N227, (U62*15) + U68 + 1,3), NA())</f>
        <v>#N/A</v>
      </c>
      <c r="W64" t="e">
        <f>IF(AND(ISNUMBER(U62), ISNUMBER(U68)), INDEX('2.Distances'!E3:N227, (U62*15) + U68 + 1,4), NA())</f>
        <v>#N/A</v>
      </c>
    </row>
    <row r="65" spans="15:23" x14ac:dyDescent="0.2">
      <c r="P65">
        <f>IF(AND(ISNUMBER(O62), ISNUMBER(O68)), INDEX('2.Distances'!E3:N227, (O62*15) + O68 + 1,5), NA())</f>
        <v>37.778030000000001</v>
      </c>
      <c r="Q65">
        <f>IF(AND(ISNUMBER(O62), ISNUMBER(O68)), INDEX('2.Distances'!E3:N227, (O62*15) + O68 + 1,6), NA())</f>
        <v>128.93975</v>
      </c>
      <c r="S65" t="e">
        <f>IF(AND(ISNUMBER(R62), ISNUMBER(R68)), INDEX('2.Distances'!E3:N227, (R62*15) + R68 + 1,5), NA())</f>
        <v>#N/A</v>
      </c>
      <c r="T65" t="e">
        <f>IF(AND(ISNUMBER(R62), ISNUMBER(R68)), INDEX('2.Distances'!E3:N227, (R62*15) + R68 + 1,6), NA())</f>
        <v>#N/A</v>
      </c>
      <c r="V65" t="e">
        <f>IF(AND(ISNUMBER(U62), ISNUMBER(U68)), INDEX('2.Distances'!E3:N227, (U62*15) + U68 + 1,5), NA())</f>
        <v>#N/A</v>
      </c>
      <c r="W65" t="e">
        <f>IF(AND(ISNUMBER(U62), ISNUMBER(U68)), INDEX('2.Distances'!E3:N227, (U62*15) + U68 + 1,6), NA())</f>
        <v>#N/A</v>
      </c>
    </row>
    <row r="66" spans="15:23" x14ac:dyDescent="0.2">
      <c r="P66">
        <f>IF(AND(ISNUMBER(O62), ISNUMBER(O68)), INDEX('2.Distances'!E3:N227, (O62*15) + O68 + 1,7), NA())</f>
        <v>37.777920000000002</v>
      </c>
      <c r="Q66">
        <f>IF(AND(ISNUMBER(O62), ISNUMBER(O68)), INDEX('2.Distances'!E3:N227, (O62*15) + O68 + 1,8), NA())</f>
        <v>128.93992</v>
      </c>
      <c r="S66" t="e">
        <f>IF(AND(ISNUMBER(R62), ISNUMBER(R68)), INDEX('2.Distances'!E3:N227, (R62*15) + R68 + 1,7), NA())</f>
        <v>#N/A</v>
      </c>
      <c r="T66" t="e">
        <f>IF(AND(ISNUMBER(R62), ISNUMBER(R68)), INDEX('2.Distances'!E3:N227, (R62*15) + R68 + 1,8), NA())</f>
        <v>#N/A</v>
      </c>
      <c r="V66" t="e">
        <f>IF(AND(ISNUMBER(U62), ISNUMBER(U68)), INDEX('2.Distances'!E3:N227, (U62*15) + U68 + 1,7), NA())</f>
        <v>#N/A</v>
      </c>
      <c r="W66" t="e">
        <f>IF(AND(ISNUMBER(U62), ISNUMBER(U68)), INDEX('2.Distances'!E3:N227, (U62*15) + U68 + 1,8), NA())</f>
        <v>#N/A</v>
      </c>
    </row>
    <row r="67" spans="15:23" x14ac:dyDescent="0.2">
      <c r="P67">
        <f>IF(AND(ISNUMBER(O62), ISNUMBER(O68)), INDEX('2.Distances'!E3:N227, (O62*15) + O68 + 1,9), NA())</f>
        <v>37.777720000000002</v>
      </c>
      <c r="Q67">
        <f>IF(AND(ISNUMBER(O62), ISNUMBER(O68)), INDEX('2.Distances'!E3:N227, (O62*15) + O68 + 1,10), NA())</f>
        <v>128.94019</v>
      </c>
      <c r="S67" t="e">
        <f>IF(AND(ISNUMBER(R62), ISNUMBER(R68)), INDEX('2.Distances'!E3:N227, (R62*15) + R68 + 1,9), NA())</f>
        <v>#N/A</v>
      </c>
      <c r="T67" t="e">
        <f>IF(AND(ISNUMBER(R62), ISNUMBER(R68)), INDEX('2.Distances'!E3:N227, (R62*15) + R68 + 1,10), NA())</f>
        <v>#N/A</v>
      </c>
      <c r="V67" t="e">
        <f>IF(AND(ISNUMBER(U62), ISNUMBER(U68)), INDEX('2.Distances'!E3:N227, (U62*15) + U68 + 1,9), NA())</f>
        <v>#N/A</v>
      </c>
      <c r="W67" t="e">
        <f>IF(AND(ISNUMBER(U62), ISNUMBER(U68)), INDEX('2.Distances'!E3:N227, (U62*15) + U68 + 1,10), NA())</f>
        <v>#N/A</v>
      </c>
    </row>
    <row r="68" spans="15:23" x14ac:dyDescent="0.2">
      <c r="O68">
        <f>'4.Solution'!C16</f>
        <v>10</v>
      </c>
      <c r="P68">
        <f>IFERROR(IF(ISNUMBER(O68),INDEX('1.Locations'!$D$2:$D$16,O68 + 1),NA()),NA())</f>
        <v>37.774542716914397</v>
      </c>
      <c r="Q68">
        <f>IFERROR(IF(ISNUMBER(O68),INDEX('1.Locations'!$E$2:$E$16,O68 + 1),NA()),NA())</f>
        <v>128.94464175024299</v>
      </c>
      <c r="R68" t="str">
        <f>'4.Solution'!T16</f>
        <v xml:space="preserve"> </v>
      </c>
      <c r="S68" t="e">
        <f>IFERROR(IF(ISNUMBER(R68),INDEX('1.Locations'!$D$2:$D$16,R68 + 1),NA()),NA())</f>
        <v>#N/A</v>
      </c>
      <c r="T68" t="e">
        <f>IFERROR(IF(ISNUMBER(R68),INDEX('1.Locations'!$E$2:$E$16,R68 + 1),NA()),NA())</f>
        <v>#N/A</v>
      </c>
      <c r="U68" t="str">
        <f>'4.Solution'!AK16</f>
        <v xml:space="preserve"> </v>
      </c>
      <c r="V68" t="e">
        <f>IFERROR(IF(ISNUMBER(U68),INDEX('1.Locations'!$D$2:$D$16,U68 + 1),NA()),NA())</f>
        <v>#N/A</v>
      </c>
      <c r="W68" t="e">
        <f>IFERROR(IF(ISNUMBER(U68),INDEX('1.Locations'!$E$2:$E$16,U68 + 1),NA()),NA())</f>
        <v>#N/A</v>
      </c>
    </row>
    <row r="69" spans="15:23" x14ac:dyDescent="0.2">
      <c r="P69">
        <f>IF(AND(ISNUMBER(O68), ISNUMBER(O74)), INDEX('2.Distances'!E3:N227, (O68*15) + O74 + 1,1), NA())</f>
        <v>37.777509999999999</v>
      </c>
      <c r="Q69">
        <f>IF(AND(ISNUMBER(O68), ISNUMBER(O74)), INDEX('2.Distances'!E3:N227, (O68*15) + O74 + 1,2), NA())</f>
        <v>128.93876</v>
      </c>
      <c r="S69" t="e">
        <f>IF(AND(ISNUMBER(R68), ISNUMBER(R74)), INDEX('2.Distances'!E3:N227, (R68*15) + R74 + 1,1), NA())</f>
        <v>#N/A</v>
      </c>
      <c r="T69" t="e">
        <f>IF(AND(ISNUMBER(R68), ISNUMBER(R74)), INDEX('2.Distances'!E3:N227, (R68*15) + R74 + 1,2), NA())</f>
        <v>#N/A</v>
      </c>
      <c r="V69" t="e">
        <f>IF(AND(ISNUMBER(U68), ISNUMBER(U74)), INDEX('2.Distances'!E3:N227, (U68*15) + U74 + 1,1), NA())</f>
        <v>#N/A</v>
      </c>
      <c r="W69" t="e">
        <f>IF(AND(ISNUMBER(U68), ISNUMBER(U74)), INDEX('2.Distances'!E3:N227, (U68*15) + U74 + 1,2), NA())</f>
        <v>#N/A</v>
      </c>
    </row>
    <row r="70" spans="15:23" x14ac:dyDescent="0.2">
      <c r="P70">
        <f>IF(AND(ISNUMBER(O68), ISNUMBER(O74)), INDEX('2.Distances'!E3:N227, (O68*15) + O74 + 1,3), NA())</f>
        <v>37.782119999999999</v>
      </c>
      <c r="Q70">
        <f>IF(AND(ISNUMBER(O68), ISNUMBER(O74)), INDEX('2.Distances'!E3:N227, (O68*15) + O74 + 1,4), NA())</f>
        <v>128.93108000000001</v>
      </c>
      <c r="S70" t="e">
        <f>IF(AND(ISNUMBER(R68), ISNUMBER(R74)), INDEX('2.Distances'!E3:N227, (R68*15) + R74 + 1,3), NA())</f>
        <v>#N/A</v>
      </c>
      <c r="T70" t="e">
        <f>IF(AND(ISNUMBER(R68), ISNUMBER(R74)), INDEX('2.Distances'!E3:N227, (R68*15) + R74 + 1,4), NA())</f>
        <v>#N/A</v>
      </c>
      <c r="V70" t="e">
        <f>IF(AND(ISNUMBER(U68), ISNUMBER(U74)), INDEX('2.Distances'!E3:N227, (U68*15) + U74 + 1,3), NA())</f>
        <v>#N/A</v>
      </c>
      <c r="W70" t="e">
        <f>IF(AND(ISNUMBER(U68), ISNUMBER(U74)), INDEX('2.Distances'!E3:N227, (U68*15) + U74 + 1,4), NA())</f>
        <v>#N/A</v>
      </c>
    </row>
    <row r="71" spans="15:23" x14ac:dyDescent="0.2">
      <c r="P71">
        <f>IF(AND(ISNUMBER(O68), ISNUMBER(O74)), INDEX('2.Distances'!E3:N227, (O68*15) + O74 + 1,5), NA())</f>
        <v>37.78678</v>
      </c>
      <c r="Q71">
        <f>IF(AND(ISNUMBER(O68), ISNUMBER(O74)), INDEX('2.Distances'!E3:N227, (O68*15) + O74 + 1,6), NA())</f>
        <v>128.92376999999999</v>
      </c>
      <c r="S71" t="e">
        <f>IF(AND(ISNUMBER(R68), ISNUMBER(R74)), INDEX('2.Distances'!E3:N227, (R68*15) + R74 + 1,5), NA())</f>
        <v>#N/A</v>
      </c>
      <c r="T71" t="e">
        <f>IF(AND(ISNUMBER(R68), ISNUMBER(R74)), INDEX('2.Distances'!E3:N227, (R68*15) + R74 + 1,6), NA())</f>
        <v>#N/A</v>
      </c>
      <c r="V71" t="e">
        <f>IF(AND(ISNUMBER(U68), ISNUMBER(U74)), INDEX('2.Distances'!E3:N227, (U68*15) + U74 + 1,5), NA())</f>
        <v>#N/A</v>
      </c>
      <c r="W71" t="e">
        <f>IF(AND(ISNUMBER(U68), ISNUMBER(U74)), INDEX('2.Distances'!E3:N227, (U68*15) + U74 + 1,6), NA())</f>
        <v>#N/A</v>
      </c>
    </row>
    <row r="72" spans="15:23" x14ac:dyDescent="0.2">
      <c r="P72">
        <f>IF(AND(ISNUMBER(O68), ISNUMBER(O74)), INDEX('2.Distances'!E3:N227, (O68*15) + O74 + 1,7), NA())</f>
        <v>37.792819999999999</v>
      </c>
      <c r="Q72">
        <f>IF(AND(ISNUMBER(O68), ISNUMBER(O74)), INDEX('2.Distances'!E3:N227, (O68*15) + O74 + 1,8), NA())</f>
        <v>128.91827000000001</v>
      </c>
      <c r="S72" t="e">
        <f>IF(AND(ISNUMBER(R68), ISNUMBER(R74)), INDEX('2.Distances'!E3:N227, (R68*15) + R74 + 1,7), NA())</f>
        <v>#N/A</v>
      </c>
      <c r="T72" t="e">
        <f>IF(AND(ISNUMBER(R68), ISNUMBER(R74)), INDEX('2.Distances'!E3:N227, (R68*15) + R74 + 1,8), NA())</f>
        <v>#N/A</v>
      </c>
      <c r="V72" t="e">
        <f>IF(AND(ISNUMBER(U68), ISNUMBER(U74)), INDEX('2.Distances'!E3:N227, (U68*15) + U74 + 1,7), NA())</f>
        <v>#N/A</v>
      </c>
      <c r="W72" t="e">
        <f>IF(AND(ISNUMBER(U68), ISNUMBER(U74)), INDEX('2.Distances'!E3:N227, (U68*15) + U74 + 1,8), NA())</f>
        <v>#N/A</v>
      </c>
    </row>
    <row r="73" spans="15:23" x14ac:dyDescent="0.2">
      <c r="P73">
        <f>IF(AND(ISNUMBER(O68), ISNUMBER(O74)), INDEX('2.Distances'!E3:N227, (O68*15) + O74 + 1,9), NA())</f>
        <v>37.792969999999997</v>
      </c>
      <c r="Q73">
        <f>IF(AND(ISNUMBER(O68), ISNUMBER(O74)), INDEX('2.Distances'!E3:N227, (O68*15) + O74 + 1,10), NA())</f>
        <v>128.91404</v>
      </c>
      <c r="S73" t="e">
        <f>IF(AND(ISNUMBER(R68), ISNUMBER(R74)), INDEX('2.Distances'!E3:N227, (R68*15) + R74 + 1,9), NA())</f>
        <v>#N/A</v>
      </c>
      <c r="T73" t="e">
        <f>IF(AND(ISNUMBER(R68), ISNUMBER(R74)), INDEX('2.Distances'!E3:N227, (R68*15) + R74 + 1,10), NA())</f>
        <v>#N/A</v>
      </c>
      <c r="V73" t="e">
        <f>IF(AND(ISNUMBER(U68), ISNUMBER(U74)), INDEX('2.Distances'!E3:N227, (U68*15) + U74 + 1,9), NA())</f>
        <v>#N/A</v>
      </c>
      <c r="W73" t="e">
        <f>IF(AND(ISNUMBER(U68), ISNUMBER(U74)), INDEX('2.Distances'!E3:N227, (U68*15) + U74 + 1,10), NA())</f>
        <v>#N/A</v>
      </c>
    </row>
    <row r="74" spans="15:23" x14ac:dyDescent="0.2">
      <c r="O74">
        <f>'4.Solution'!C17</f>
        <v>2</v>
      </c>
      <c r="P74">
        <f>IFERROR(IF(ISNUMBER(O74),INDEX('1.Locations'!$D$2:$D$16,O74 + 1),NA()),NA())</f>
        <v>37.789729888456399</v>
      </c>
      <c r="Q74">
        <f>IFERROR(IF(ISNUMBER(O74),INDEX('1.Locations'!$E$2:$E$16,O74 + 1),NA()),NA())</f>
        <v>128.90960192524901</v>
      </c>
      <c r="R74" t="str">
        <f>'4.Solution'!T17</f>
        <v xml:space="preserve"> </v>
      </c>
      <c r="S74" t="e">
        <f>IFERROR(IF(ISNUMBER(R74),INDEX('1.Locations'!$D$2:$D$16,R74 + 1),NA()),NA())</f>
        <v>#N/A</v>
      </c>
      <c r="T74" t="e">
        <f>IFERROR(IF(ISNUMBER(R74),INDEX('1.Locations'!$E$2:$E$16,R74 + 1),NA()),NA())</f>
        <v>#N/A</v>
      </c>
      <c r="U74" t="str">
        <f>'4.Solution'!AK17</f>
        <v xml:space="preserve"> </v>
      </c>
      <c r="V74" t="e">
        <f>IFERROR(IF(ISNUMBER(U74),INDEX('1.Locations'!$D$2:$D$16,U74 + 1),NA()),NA())</f>
        <v>#N/A</v>
      </c>
      <c r="W74" t="e">
        <f>IFERROR(IF(ISNUMBER(U74),INDEX('1.Locations'!$E$2:$E$16,U74 + 1),NA()),NA())</f>
        <v>#N/A</v>
      </c>
    </row>
    <row r="75" spans="15:23" x14ac:dyDescent="0.2">
      <c r="P75">
        <f>IF(AND(ISNUMBER(O74), ISNUMBER(O80)), INDEX('2.Distances'!E3:N227, (O74*15) + O80 + 1,1), NA())</f>
        <v>37.789169999999999</v>
      </c>
      <c r="Q75">
        <f>IF(AND(ISNUMBER(O74), ISNUMBER(O80)), INDEX('2.Distances'!E3:N227, (O74*15) + O80 + 1,2), NA())</f>
        <v>128.90917999999999</v>
      </c>
      <c r="S75" t="e">
        <f>IF(AND(ISNUMBER(R74), ISNUMBER(R80)), INDEX('2.Distances'!E3:N227, (R74*15) + R80 + 1,1), NA())</f>
        <v>#N/A</v>
      </c>
      <c r="T75" t="e">
        <f>IF(AND(ISNUMBER(R74), ISNUMBER(R80)), INDEX('2.Distances'!E3:N227, (R74*15) + R80 + 1,2), NA())</f>
        <v>#N/A</v>
      </c>
      <c r="V75" t="e">
        <f>IF(AND(ISNUMBER(U74), ISNUMBER(U80)), INDEX('2.Distances'!E3:N227, (U74*15) + U80 + 1,1), NA())</f>
        <v>#N/A</v>
      </c>
      <c r="W75" t="e">
        <f>IF(AND(ISNUMBER(U74), ISNUMBER(U80)), INDEX('2.Distances'!E3:N227, (U74*15) + U80 + 1,2), NA())</f>
        <v>#N/A</v>
      </c>
    </row>
    <row r="76" spans="15:23" x14ac:dyDescent="0.2">
      <c r="P76">
        <f>IF(AND(ISNUMBER(O74), ISNUMBER(O80)), INDEX('2.Distances'!E3:N227, (O74*15) + O80 + 1,3), NA())</f>
        <v>37.788319999999999</v>
      </c>
      <c r="Q76">
        <f>IF(AND(ISNUMBER(O74), ISNUMBER(O80)), INDEX('2.Distances'!E3:N227, (O74*15) + O80 + 1,4), NA())</f>
        <v>128.90862999999999</v>
      </c>
      <c r="S76" t="e">
        <f>IF(AND(ISNUMBER(R74), ISNUMBER(R80)), INDEX('2.Distances'!E3:N227, (R74*15) + R80 + 1,3), NA())</f>
        <v>#N/A</v>
      </c>
      <c r="T76" t="e">
        <f>IF(AND(ISNUMBER(R74), ISNUMBER(R80)), INDEX('2.Distances'!E3:N227, (R74*15) + R80 + 1,4), NA())</f>
        <v>#N/A</v>
      </c>
      <c r="V76" t="e">
        <f>IF(AND(ISNUMBER(U74), ISNUMBER(U80)), INDEX('2.Distances'!E3:N227, (U74*15) + U80 + 1,3), NA())</f>
        <v>#N/A</v>
      </c>
      <c r="W76" t="e">
        <f>IF(AND(ISNUMBER(U74), ISNUMBER(U80)), INDEX('2.Distances'!E3:N227, (U74*15) + U80 + 1,4), NA())</f>
        <v>#N/A</v>
      </c>
    </row>
    <row r="77" spans="15:23" x14ac:dyDescent="0.2">
      <c r="P77">
        <f>IF(AND(ISNUMBER(O74), ISNUMBER(O80)), INDEX('2.Distances'!E3:N227, (O74*15) + O80 + 1,5), NA())</f>
        <v>37.786810000000003</v>
      </c>
      <c r="Q77">
        <f>IF(AND(ISNUMBER(O74), ISNUMBER(O80)), INDEX('2.Distances'!E3:N227, (O74*15) + O80 + 1,6), NA())</f>
        <v>128.90725</v>
      </c>
      <c r="S77" t="e">
        <f>IF(AND(ISNUMBER(R74), ISNUMBER(R80)), INDEX('2.Distances'!E3:N227, (R74*15) + R80 + 1,5), NA())</f>
        <v>#N/A</v>
      </c>
      <c r="T77" t="e">
        <f>IF(AND(ISNUMBER(R74), ISNUMBER(R80)), INDEX('2.Distances'!E3:N227, (R74*15) + R80 + 1,6), NA())</f>
        <v>#N/A</v>
      </c>
      <c r="V77" t="e">
        <f>IF(AND(ISNUMBER(U74), ISNUMBER(U80)), INDEX('2.Distances'!E3:N227, (U74*15) + U80 + 1,5), NA())</f>
        <v>#N/A</v>
      </c>
      <c r="W77" t="e">
        <f>IF(AND(ISNUMBER(U74), ISNUMBER(U80)), INDEX('2.Distances'!E3:N227, (U74*15) + U80 + 1,6), NA())</f>
        <v>#N/A</v>
      </c>
    </row>
    <row r="78" spans="15:23" x14ac:dyDescent="0.2">
      <c r="P78">
        <f>IF(AND(ISNUMBER(O74), ISNUMBER(O80)), INDEX('2.Distances'!E3:N227, (O74*15) + O80 + 1,7), NA())</f>
        <v>37.788130000000002</v>
      </c>
      <c r="Q78">
        <f>IF(AND(ISNUMBER(O74), ISNUMBER(O80)), INDEX('2.Distances'!E3:N227, (O74*15) + O80 + 1,8), NA())</f>
        <v>128.90644</v>
      </c>
      <c r="S78" t="e">
        <f>IF(AND(ISNUMBER(R74), ISNUMBER(R80)), INDEX('2.Distances'!E3:N227, (R74*15) + R80 + 1,7), NA())</f>
        <v>#N/A</v>
      </c>
      <c r="T78" t="e">
        <f>IF(AND(ISNUMBER(R74), ISNUMBER(R80)), INDEX('2.Distances'!E3:N227, (R74*15) + R80 + 1,8), NA())</f>
        <v>#N/A</v>
      </c>
      <c r="V78" t="e">
        <f>IF(AND(ISNUMBER(U74), ISNUMBER(U80)), INDEX('2.Distances'!E3:N227, (U74*15) + U80 + 1,7), NA())</f>
        <v>#N/A</v>
      </c>
      <c r="W78" t="e">
        <f>IF(AND(ISNUMBER(U74), ISNUMBER(U80)), INDEX('2.Distances'!E3:N227, (U74*15) + U80 + 1,8), NA())</f>
        <v>#N/A</v>
      </c>
    </row>
    <row r="79" spans="15:23" x14ac:dyDescent="0.2">
      <c r="P79">
        <f>IF(AND(ISNUMBER(O74), ISNUMBER(O80)), INDEX('2.Distances'!E3:N227, (O74*15) + O80 + 1,9), NA())</f>
        <v>37.789439999999999</v>
      </c>
      <c r="Q79">
        <f>IF(AND(ISNUMBER(O74), ISNUMBER(O80)), INDEX('2.Distances'!E3:N227, (O74*15) + O80 + 1,10), NA())</f>
        <v>128.90602000000001</v>
      </c>
      <c r="S79" t="e">
        <f>IF(AND(ISNUMBER(R74), ISNUMBER(R80)), INDEX('2.Distances'!E3:N227, (R74*15) + R80 + 1,9), NA())</f>
        <v>#N/A</v>
      </c>
      <c r="T79" t="e">
        <f>IF(AND(ISNUMBER(R74), ISNUMBER(R80)), INDEX('2.Distances'!E3:N227, (R74*15) + R80 + 1,10), NA())</f>
        <v>#N/A</v>
      </c>
      <c r="V79" t="e">
        <f>IF(AND(ISNUMBER(U74), ISNUMBER(U80)), INDEX('2.Distances'!E3:N227, (U74*15) + U80 + 1,9), NA())</f>
        <v>#N/A</v>
      </c>
      <c r="W79" t="e">
        <f>IF(AND(ISNUMBER(U74), ISNUMBER(U80)), INDEX('2.Distances'!E3:N227, (U74*15) + U80 + 1,10), NA())</f>
        <v>#N/A</v>
      </c>
    </row>
    <row r="80" spans="15:23" x14ac:dyDescent="0.2">
      <c r="O80">
        <f>'4.Solution'!C18</f>
        <v>13</v>
      </c>
      <c r="P80">
        <f>IFERROR(IF(ISNUMBER(O80),INDEX('1.Locations'!$D$2:$D$16,O80 + 1),NA()),NA())</f>
        <v>37.7905870979681</v>
      </c>
      <c r="Q80">
        <f>IFERROR(IF(ISNUMBER(O80),INDEX('1.Locations'!$E$2:$E$16,O80 + 1),NA()),NA())</f>
        <v>128.90749104317999</v>
      </c>
      <c r="R80" t="str">
        <f>'4.Solution'!T18</f>
        <v xml:space="preserve"> </v>
      </c>
      <c r="S80" t="e">
        <f>IFERROR(IF(ISNUMBER(R80),INDEX('1.Locations'!$D$2:$D$16,R80 + 1),NA()),NA())</f>
        <v>#N/A</v>
      </c>
      <c r="T80" t="e">
        <f>IFERROR(IF(ISNUMBER(R80),INDEX('1.Locations'!$E$2:$E$16,R80 + 1),NA()),NA())</f>
        <v>#N/A</v>
      </c>
      <c r="U80" t="str">
        <f>'4.Solution'!AK18</f>
        <v xml:space="preserve"> </v>
      </c>
      <c r="V80" t="e">
        <f>IFERROR(IF(ISNUMBER(U80),INDEX('1.Locations'!$D$2:$D$16,U80 + 1),NA()),NA())</f>
        <v>#N/A</v>
      </c>
      <c r="W80" t="e">
        <f>IFERROR(IF(ISNUMBER(U80),INDEX('1.Locations'!$E$2:$E$16,U80 + 1),NA()),NA())</f>
        <v>#N/A</v>
      </c>
    </row>
    <row r="81" spans="15:23" x14ac:dyDescent="0.2">
      <c r="P81">
        <f>IF(AND(ISNUMBER(O80), ISNUMBER(O86)), INDEX('2.Distances'!E3:N227, (O80*15) + O86 + 1,1), NA())</f>
        <v>37.786450000000002</v>
      </c>
      <c r="Q81">
        <f>IF(AND(ISNUMBER(O80), ISNUMBER(O86)), INDEX('2.Distances'!E3:N227, (O80*15) + O86 + 1,2), NA())</f>
        <v>128.90648999999999</v>
      </c>
      <c r="S81" t="e">
        <f>IF(AND(ISNUMBER(R80), ISNUMBER(R86)), INDEX('2.Distances'!E3:N227, (R80*15) + R86 + 1,1), NA())</f>
        <v>#N/A</v>
      </c>
      <c r="T81" t="e">
        <f>IF(AND(ISNUMBER(R80), ISNUMBER(R86)), INDEX('2.Distances'!E3:N227, (R80*15) + R86 + 1,2), NA())</f>
        <v>#N/A</v>
      </c>
      <c r="V81" t="e">
        <f>IF(AND(ISNUMBER(U80), ISNUMBER(U86)), INDEX('2.Distances'!E3:N227, (U80*15) + U86 + 1,1), NA())</f>
        <v>#N/A</v>
      </c>
      <c r="W81" t="e">
        <f>IF(AND(ISNUMBER(U80), ISNUMBER(U86)), INDEX('2.Distances'!E3:N227, (U80*15) + U86 + 1,2), NA())</f>
        <v>#N/A</v>
      </c>
    </row>
    <row r="82" spans="15:23" x14ac:dyDescent="0.2">
      <c r="P82">
        <f>IF(AND(ISNUMBER(O80), ISNUMBER(O86)), INDEX('2.Distances'!E3:N227, (O80*15) + O86 + 1,3), NA())</f>
        <v>37.783619999999999</v>
      </c>
      <c r="Q82">
        <f>IF(AND(ISNUMBER(O80), ISNUMBER(O86)), INDEX('2.Distances'!E3:N227, (O80*15) + O86 + 1,4), NA())</f>
        <v>128.90289000000001</v>
      </c>
      <c r="S82" t="e">
        <f>IF(AND(ISNUMBER(R80), ISNUMBER(R86)), INDEX('2.Distances'!E3:N227, (R80*15) + R86 + 1,3), NA())</f>
        <v>#N/A</v>
      </c>
      <c r="T82" t="e">
        <f>IF(AND(ISNUMBER(R80), ISNUMBER(R86)), INDEX('2.Distances'!E3:N227, (R80*15) + R86 + 1,4), NA())</f>
        <v>#N/A</v>
      </c>
      <c r="V82" t="e">
        <f>IF(AND(ISNUMBER(U80), ISNUMBER(U86)), INDEX('2.Distances'!E3:N227, (U80*15) + U86 + 1,3), NA())</f>
        <v>#N/A</v>
      </c>
      <c r="W82" t="e">
        <f>IF(AND(ISNUMBER(U80), ISNUMBER(U86)), INDEX('2.Distances'!E3:N227, (U80*15) + U86 + 1,4), NA())</f>
        <v>#N/A</v>
      </c>
    </row>
    <row r="83" spans="15:23" x14ac:dyDescent="0.2">
      <c r="P83">
        <f>IF(AND(ISNUMBER(O80), ISNUMBER(O86)), INDEX('2.Distances'!E3:N227, (O80*15) + O86 + 1,5), NA())</f>
        <v>37.781999999999996</v>
      </c>
      <c r="Q83">
        <f>IF(AND(ISNUMBER(O80), ISNUMBER(O86)), INDEX('2.Distances'!E3:N227, (O80*15) + O86 + 1,6), NA())</f>
        <v>128.89757</v>
      </c>
      <c r="S83" t="e">
        <f>IF(AND(ISNUMBER(R80), ISNUMBER(R86)), INDEX('2.Distances'!E3:N227, (R80*15) + R86 + 1,5), NA())</f>
        <v>#N/A</v>
      </c>
      <c r="T83" t="e">
        <f>IF(AND(ISNUMBER(R80), ISNUMBER(R86)), INDEX('2.Distances'!E3:N227, (R80*15) + R86 + 1,6), NA())</f>
        <v>#N/A</v>
      </c>
      <c r="V83" t="e">
        <f>IF(AND(ISNUMBER(U80), ISNUMBER(U86)), INDEX('2.Distances'!E3:N227, (U80*15) + U86 + 1,5), NA())</f>
        <v>#N/A</v>
      </c>
      <c r="W83" t="e">
        <f>IF(AND(ISNUMBER(U80), ISNUMBER(U86)), INDEX('2.Distances'!E3:N227, (U80*15) + U86 + 1,6), NA())</f>
        <v>#N/A</v>
      </c>
    </row>
    <row r="84" spans="15:23" x14ac:dyDescent="0.2">
      <c r="P84">
        <f>IF(AND(ISNUMBER(O80), ISNUMBER(O86)), INDEX('2.Distances'!E3:N227, (O80*15) + O86 + 1,7), NA())</f>
        <v>37.781030000000001</v>
      </c>
      <c r="Q84">
        <f>IF(AND(ISNUMBER(O80), ISNUMBER(O86)), INDEX('2.Distances'!E3:N227, (O80*15) + O86 + 1,8), NA())</f>
        <v>128.89449999999999</v>
      </c>
      <c r="S84" t="e">
        <f>IF(AND(ISNUMBER(R80), ISNUMBER(R86)), INDEX('2.Distances'!E3:N227, (R80*15) + R86 + 1,7), NA())</f>
        <v>#N/A</v>
      </c>
      <c r="T84" t="e">
        <f>IF(AND(ISNUMBER(R80), ISNUMBER(R86)), INDEX('2.Distances'!E3:N227, (R80*15) + R86 + 1,8), NA())</f>
        <v>#N/A</v>
      </c>
      <c r="V84" t="e">
        <f>IF(AND(ISNUMBER(U80), ISNUMBER(U86)), INDEX('2.Distances'!E3:N227, (U80*15) + U86 + 1,7), NA())</f>
        <v>#N/A</v>
      </c>
      <c r="W84" t="e">
        <f>IF(AND(ISNUMBER(U80), ISNUMBER(U86)), INDEX('2.Distances'!E3:N227, (U80*15) + U86 + 1,8), NA())</f>
        <v>#N/A</v>
      </c>
    </row>
    <row r="85" spans="15:23" x14ac:dyDescent="0.2">
      <c r="P85">
        <f>IF(AND(ISNUMBER(O80), ISNUMBER(O86)), INDEX('2.Distances'!E3:N227, (O80*15) + O86 + 1,9), NA())</f>
        <v>37.779769999999999</v>
      </c>
      <c r="Q85">
        <f>IF(AND(ISNUMBER(O80), ISNUMBER(O86)), INDEX('2.Distances'!E3:N227, (O80*15) + O86 + 1,10), NA())</f>
        <v>128.89542</v>
      </c>
      <c r="S85" t="e">
        <f>IF(AND(ISNUMBER(R80), ISNUMBER(R86)), INDEX('2.Distances'!E3:N227, (R80*15) + R86 + 1,9), NA())</f>
        <v>#N/A</v>
      </c>
      <c r="T85" t="e">
        <f>IF(AND(ISNUMBER(R80), ISNUMBER(R86)), INDEX('2.Distances'!E3:N227, (R80*15) + R86 + 1,10), NA())</f>
        <v>#N/A</v>
      </c>
      <c r="V85" t="e">
        <f>IF(AND(ISNUMBER(U80), ISNUMBER(U86)), INDEX('2.Distances'!E3:N227, (U80*15) + U86 + 1,9), NA())</f>
        <v>#N/A</v>
      </c>
      <c r="W85" t="e">
        <f>IF(AND(ISNUMBER(U80), ISNUMBER(U86)), INDEX('2.Distances'!E3:N227, (U80*15) + U86 + 1,10), NA())</f>
        <v>#N/A</v>
      </c>
    </row>
    <row r="86" spans="15:23" x14ac:dyDescent="0.2">
      <c r="O86">
        <f>'4.Solution'!C19</f>
        <v>3</v>
      </c>
      <c r="P86">
        <f>IFERROR(IF(ISNUMBER(O86),INDEX('1.Locations'!$D$2:$D$16,O86 + 1),NA()),NA())</f>
        <v>37.777638889147802</v>
      </c>
      <c r="Q86">
        <f>IFERROR(IF(ISNUMBER(O86),INDEX('1.Locations'!$E$2:$E$16,O86 + 1),NA()),NA())</f>
        <v>128.89830858447601</v>
      </c>
      <c r="R86" t="str">
        <f>'4.Solution'!T19</f>
        <v xml:space="preserve"> </v>
      </c>
      <c r="S86" t="e">
        <f>IFERROR(IF(ISNUMBER(R86),INDEX('1.Locations'!$D$2:$D$16,R86 + 1),NA()),NA())</f>
        <v>#N/A</v>
      </c>
      <c r="T86" t="e">
        <f>IFERROR(IF(ISNUMBER(R86),INDEX('1.Locations'!$E$2:$E$16,R86 + 1),NA()),NA())</f>
        <v>#N/A</v>
      </c>
      <c r="U86" t="str">
        <f>'4.Solution'!AK19</f>
        <v xml:space="preserve"> </v>
      </c>
      <c r="V86" t="e">
        <f>IFERROR(IF(ISNUMBER(U86),INDEX('1.Locations'!$D$2:$D$16,U86 + 1),NA()),NA())</f>
        <v>#N/A</v>
      </c>
      <c r="W86" t="e">
        <f>IFERROR(IF(ISNUMBER(U86),INDEX('1.Locations'!$E$2:$E$16,U86 + 1),NA()),NA())</f>
        <v>#N/A</v>
      </c>
    </row>
    <row r="87" spans="15:23" x14ac:dyDescent="0.2">
      <c r="P87">
        <f>IF(AND(ISNUMBER(O86), ISNUMBER(O92)), INDEX('2.Distances'!E3:N227, (O86*15) + O92 + 1,1), NA())</f>
        <v>37.775660000000002</v>
      </c>
      <c r="Q87">
        <f>IF(AND(ISNUMBER(O86), ISNUMBER(O92)), INDEX('2.Distances'!E3:N227, (O86*15) + O92 + 1,2), NA())</f>
        <v>128.8973</v>
      </c>
      <c r="S87" t="e">
        <f>IF(AND(ISNUMBER(R86), ISNUMBER(R92)), INDEX('2.Distances'!E3:N227, (R86*15) + R92 + 1,1), NA())</f>
        <v>#N/A</v>
      </c>
      <c r="T87" t="e">
        <f>IF(AND(ISNUMBER(R86), ISNUMBER(R92)), INDEX('2.Distances'!E3:N227, (R86*15) + R92 + 1,2), NA())</f>
        <v>#N/A</v>
      </c>
      <c r="V87" t="e">
        <f>IF(AND(ISNUMBER(U86), ISNUMBER(U92)), INDEX('2.Distances'!E3:N227, (U86*15) + U92 + 1,1), NA())</f>
        <v>#N/A</v>
      </c>
      <c r="W87" t="e">
        <f>IF(AND(ISNUMBER(U86), ISNUMBER(U92)), INDEX('2.Distances'!E3:N227, (U86*15) + U92 + 1,2), NA())</f>
        <v>#N/A</v>
      </c>
    </row>
    <row r="88" spans="15:23" x14ac:dyDescent="0.2">
      <c r="P88">
        <f>IF(AND(ISNUMBER(O86), ISNUMBER(O92)), INDEX('2.Distances'!E3:N227, (O86*15) + O92 + 1,3), NA())</f>
        <v>37.773510000000002</v>
      </c>
      <c r="Q88">
        <f>IF(AND(ISNUMBER(O86), ISNUMBER(O92)), INDEX('2.Distances'!E3:N227, (O86*15) + O92 + 1,4), NA())</f>
        <v>128.89982000000001</v>
      </c>
      <c r="S88" t="e">
        <f>IF(AND(ISNUMBER(R86), ISNUMBER(R92)), INDEX('2.Distances'!E3:N227, (R86*15) + R92 + 1,3), NA())</f>
        <v>#N/A</v>
      </c>
      <c r="T88" t="e">
        <f>IF(AND(ISNUMBER(R86), ISNUMBER(R92)), INDEX('2.Distances'!E3:N227, (R86*15) + R92 + 1,4), NA())</f>
        <v>#N/A</v>
      </c>
      <c r="V88" t="e">
        <f>IF(AND(ISNUMBER(U86), ISNUMBER(U92)), INDEX('2.Distances'!E3:N227, (U86*15) + U92 + 1,3), NA())</f>
        <v>#N/A</v>
      </c>
      <c r="W88" t="e">
        <f>IF(AND(ISNUMBER(U86), ISNUMBER(U92)), INDEX('2.Distances'!E3:N227, (U86*15) + U92 + 1,4), NA())</f>
        <v>#N/A</v>
      </c>
    </row>
    <row r="89" spans="15:23" x14ac:dyDescent="0.2">
      <c r="P89">
        <f>IF(AND(ISNUMBER(O86), ISNUMBER(O92)), INDEX('2.Distances'!E3:N227, (O86*15) + O92 + 1,5), NA())</f>
        <v>37.770789999999998</v>
      </c>
      <c r="Q89">
        <f>IF(AND(ISNUMBER(O86), ISNUMBER(O92)), INDEX('2.Distances'!E3:N227, (O86*15) + O92 + 1,6), NA())</f>
        <v>128.90072000000001</v>
      </c>
      <c r="S89" t="e">
        <f>IF(AND(ISNUMBER(R86), ISNUMBER(R92)), INDEX('2.Distances'!E3:N227, (R86*15) + R92 + 1,5), NA())</f>
        <v>#N/A</v>
      </c>
      <c r="T89" t="e">
        <f>IF(AND(ISNUMBER(R86), ISNUMBER(R92)), INDEX('2.Distances'!E3:N227, (R86*15) + R92 + 1,6), NA())</f>
        <v>#N/A</v>
      </c>
      <c r="V89" t="e">
        <f>IF(AND(ISNUMBER(U86), ISNUMBER(U92)), INDEX('2.Distances'!E3:N227, (U86*15) + U92 + 1,5), NA())</f>
        <v>#N/A</v>
      </c>
      <c r="W89" t="e">
        <f>IF(AND(ISNUMBER(U86), ISNUMBER(U92)), INDEX('2.Distances'!E3:N227, (U86*15) + U92 + 1,6), NA())</f>
        <v>#N/A</v>
      </c>
    </row>
    <row r="90" spans="15:23" x14ac:dyDescent="0.2">
      <c r="P90">
        <f>IF(AND(ISNUMBER(O86), ISNUMBER(O92)), INDEX('2.Distances'!E3:N227, (O86*15) + O92 + 1,7), NA())</f>
        <v>37.770339999999997</v>
      </c>
      <c r="Q90">
        <f>IF(AND(ISNUMBER(O86), ISNUMBER(O92)), INDEX('2.Distances'!E3:N227, (O86*15) + O92 + 1,8), NA())</f>
        <v>128.90393</v>
      </c>
      <c r="S90" t="e">
        <f>IF(AND(ISNUMBER(R86), ISNUMBER(R92)), INDEX('2.Distances'!E3:N227, (R86*15) + R92 + 1,7), NA())</f>
        <v>#N/A</v>
      </c>
      <c r="T90" t="e">
        <f>IF(AND(ISNUMBER(R86), ISNUMBER(R92)), INDEX('2.Distances'!E3:N227, (R86*15) + R92 + 1,8), NA())</f>
        <v>#N/A</v>
      </c>
      <c r="V90" t="e">
        <f>IF(AND(ISNUMBER(U86), ISNUMBER(U92)), INDEX('2.Distances'!E3:N227, (U86*15) + U92 + 1,7), NA())</f>
        <v>#N/A</v>
      </c>
      <c r="W90" t="e">
        <f>IF(AND(ISNUMBER(U86), ISNUMBER(U92)), INDEX('2.Distances'!E3:N227, (U86*15) + U92 + 1,8), NA())</f>
        <v>#N/A</v>
      </c>
    </row>
    <row r="91" spans="15:23" x14ac:dyDescent="0.2">
      <c r="P91">
        <f>IF(AND(ISNUMBER(O86), ISNUMBER(O92)), INDEX('2.Distances'!E3:N227, (O86*15) + O92 + 1,9), NA())</f>
        <v>37.767629999999997</v>
      </c>
      <c r="Q91">
        <f>IF(AND(ISNUMBER(O86), ISNUMBER(O92)), INDEX('2.Distances'!E3:N227, (O86*15) + O92 + 1,10), NA())</f>
        <v>128.90379999999999</v>
      </c>
      <c r="S91" t="e">
        <f>IF(AND(ISNUMBER(R86), ISNUMBER(R92)), INDEX('2.Distances'!E3:N227, (R86*15) + R92 + 1,9), NA())</f>
        <v>#N/A</v>
      </c>
      <c r="T91" t="e">
        <f>IF(AND(ISNUMBER(R86), ISNUMBER(R92)), INDEX('2.Distances'!E3:N227, (R86*15) + R92 + 1,10), NA())</f>
        <v>#N/A</v>
      </c>
      <c r="V91" t="e">
        <f>IF(AND(ISNUMBER(U86), ISNUMBER(U92)), INDEX('2.Distances'!E3:N227, (U86*15) + U92 + 1,9), NA())</f>
        <v>#N/A</v>
      </c>
      <c r="W91" t="e">
        <f>IF(AND(ISNUMBER(U86), ISNUMBER(U92)), INDEX('2.Distances'!E3:N227, (U86*15) + U92 + 1,10), NA())</f>
        <v>#N/A</v>
      </c>
    </row>
    <row r="92" spans="15:23" x14ac:dyDescent="0.2">
      <c r="O92">
        <f>'4.Solution'!C20</f>
        <v>0</v>
      </c>
      <c r="P92">
        <f>IFERROR(IF(ISNUMBER(O92),INDEX('1.Locations'!$D$2:$D$16,O92 + 1),NA()),NA())</f>
        <v>37.764751264890002</v>
      </c>
      <c r="Q92">
        <f>IFERROR(IF(ISNUMBER(O92),INDEX('1.Locations'!$E$2:$E$16,O92 + 1),NA()),NA())</f>
        <v>128.901215118675</v>
      </c>
      <c r="R92" t="str">
        <f>'4.Solution'!T20</f>
        <v xml:space="preserve"> </v>
      </c>
      <c r="S92" t="e">
        <f>IFERROR(IF(ISNUMBER(R92),INDEX('1.Locations'!$D$2:$D$16,R92 + 1),NA()),NA())</f>
        <v>#N/A</v>
      </c>
      <c r="T92" t="e">
        <f>IFERROR(IF(ISNUMBER(R92),INDEX('1.Locations'!$E$2:$E$16,R92 + 1),NA()),NA())</f>
        <v>#N/A</v>
      </c>
      <c r="U92" t="str">
        <f>'4.Solution'!AK20</f>
        <v xml:space="preserve"> </v>
      </c>
      <c r="V92" t="e">
        <f>IFERROR(IF(ISNUMBER(U92),INDEX('1.Locations'!$D$2:$D$16,U92 + 1),NA()),NA())</f>
        <v>#N/A</v>
      </c>
      <c r="W92" t="e">
        <f>IFERROR(IF(ISNUMBER(U92),INDEX('1.Locations'!$E$2:$E$16,U92 + 1),NA()),NA())</f>
        <v>#N/A</v>
      </c>
    </row>
    <row r="93" spans="15:23" x14ac:dyDescent="0.2">
      <c r="P93" t="e">
        <f>IF(AND(ISNUMBER(O92), ISNUMBER(O98)), INDEX('2.Distances'!E3:N227, (O92*15) + O98 + 1,1), NA())</f>
        <v>#N/A</v>
      </c>
      <c r="Q93" t="e">
        <f>IF(AND(ISNUMBER(O92), ISNUMBER(O98)), INDEX('2.Distances'!E3:N227, (O92*15) + O98 + 1,2), NA())</f>
        <v>#N/A</v>
      </c>
      <c r="S93" t="e">
        <f>IF(AND(ISNUMBER(R92), ISNUMBER(R98)), INDEX('2.Distances'!E3:N227, (R92*15) + R98 + 1,1), NA())</f>
        <v>#N/A</v>
      </c>
      <c r="T93" t="e">
        <f>IF(AND(ISNUMBER(R92), ISNUMBER(R98)), INDEX('2.Distances'!E3:N227, (R92*15) + R98 + 1,2), NA())</f>
        <v>#N/A</v>
      </c>
      <c r="V93" t="e">
        <f>IF(AND(ISNUMBER(U92), ISNUMBER(U98)), INDEX('2.Distances'!E3:N227, (U92*15) + U98 + 1,1), NA())</f>
        <v>#N/A</v>
      </c>
      <c r="W93" t="e">
        <f>IF(AND(ISNUMBER(U92), ISNUMBER(U98)), INDEX('2.Distances'!E3:N227, (U92*15) + U98 + 1,2), NA())</f>
        <v>#N/A</v>
      </c>
    </row>
    <row r="94" spans="15:23" x14ac:dyDescent="0.2">
      <c r="P94" t="e">
        <f>IF(AND(ISNUMBER(O92), ISNUMBER(O98)), INDEX('2.Distances'!E3:N227, (O92*15) + O98 + 1,3), NA())</f>
        <v>#N/A</v>
      </c>
      <c r="Q94" t="e">
        <f>IF(AND(ISNUMBER(O92), ISNUMBER(O98)), INDEX('2.Distances'!E3:N227, (O92*15) + O98 + 1,4), NA())</f>
        <v>#N/A</v>
      </c>
      <c r="S94" t="e">
        <f>IF(AND(ISNUMBER(R92), ISNUMBER(R98)), INDEX('2.Distances'!E3:N227, (R92*15) + R98 + 1,3), NA())</f>
        <v>#N/A</v>
      </c>
      <c r="T94" t="e">
        <f>IF(AND(ISNUMBER(R92), ISNUMBER(R98)), INDEX('2.Distances'!E3:N227, (R92*15) + R98 + 1,4), NA())</f>
        <v>#N/A</v>
      </c>
      <c r="V94" t="e">
        <f>IF(AND(ISNUMBER(U92), ISNUMBER(U98)), INDEX('2.Distances'!E3:N227, (U92*15) + U98 + 1,3), NA())</f>
        <v>#N/A</v>
      </c>
      <c r="W94" t="e">
        <f>IF(AND(ISNUMBER(U92), ISNUMBER(U98)), INDEX('2.Distances'!E3:N227, (U92*15) + U98 + 1,4), NA())</f>
        <v>#N/A</v>
      </c>
    </row>
    <row r="95" spans="15:23" x14ac:dyDescent="0.2">
      <c r="P95" t="e">
        <f>IF(AND(ISNUMBER(O92), ISNUMBER(O98)), INDEX('2.Distances'!E3:N227, (O92*15) + O98 + 1,5), NA())</f>
        <v>#N/A</v>
      </c>
      <c r="Q95" t="e">
        <f>IF(AND(ISNUMBER(O92), ISNUMBER(O98)), INDEX('2.Distances'!E3:N227, (O92*15) + O98 + 1,6), NA())</f>
        <v>#N/A</v>
      </c>
      <c r="S95" t="e">
        <f>IF(AND(ISNUMBER(R92), ISNUMBER(R98)), INDEX('2.Distances'!E3:N227, (R92*15) + R98 + 1,5), NA())</f>
        <v>#N/A</v>
      </c>
      <c r="T95" t="e">
        <f>IF(AND(ISNUMBER(R92), ISNUMBER(R98)), INDEX('2.Distances'!E3:N227, (R92*15) + R98 + 1,6), NA())</f>
        <v>#N/A</v>
      </c>
      <c r="V95" t="e">
        <f>IF(AND(ISNUMBER(U92), ISNUMBER(U98)), INDEX('2.Distances'!E3:N227, (U92*15) + U98 + 1,5), NA())</f>
        <v>#N/A</v>
      </c>
      <c r="W95" t="e">
        <f>IF(AND(ISNUMBER(U92), ISNUMBER(U98)), INDEX('2.Distances'!E3:N227, (U92*15) + U98 + 1,6), NA())</f>
        <v>#N/A</v>
      </c>
    </row>
    <row r="96" spans="15:23" x14ac:dyDescent="0.2">
      <c r="P96" t="e">
        <f>IF(AND(ISNUMBER(O92), ISNUMBER(O98)), INDEX('2.Distances'!E3:N227, (O92*15) + O98 + 1,7), NA())</f>
        <v>#N/A</v>
      </c>
      <c r="Q96" t="e">
        <f>IF(AND(ISNUMBER(O92), ISNUMBER(O98)), INDEX('2.Distances'!E3:N227, (O92*15) + O98 + 1,8), NA())</f>
        <v>#N/A</v>
      </c>
      <c r="S96" t="e">
        <f>IF(AND(ISNUMBER(R92), ISNUMBER(R98)), INDEX('2.Distances'!E3:N227, (R92*15) + R98 + 1,7), NA())</f>
        <v>#N/A</v>
      </c>
      <c r="T96" t="e">
        <f>IF(AND(ISNUMBER(R92), ISNUMBER(R98)), INDEX('2.Distances'!E3:N227, (R92*15) + R98 + 1,8), NA())</f>
        <v>#N/A</v>
      </c>
      <c r="V96" t="e">
        <f>IF(AND(ISNUMBER(U92), ISNUMBER(U98)), INDEX('2.Distances'!E3:N227, (U92*15) + U98 + 1,7), NA())</f>
        <v>#N/A</v>
      </c>
      <c r="W96" t="e">
        <f>IF(AND(ISNUMBER(U92), ISNUMBER(U98)), INDEX('2.Distances'!E3:N227, (U92*15) + U98 + 1,8), NA())</f>
        <v>#N/A</v>
      </c>
    </row>
    <row r="97" spans="16:23" x14ac:dyDescent="0.2">
      <c r="P97" t="e">
        <f>IF(AND(ISNUMBER(O92), ISNUMBER(O98)), INDEX('2.Distances'!E3:N227, (O92*15) + O98 + 1,9), NA())</f>
        <v>#N/A</v>
      </c>
      <c r="Q97" t="e">
        <f>IF(AND(ISNUMBER(O92), ISNUMBER(O98)), INDEX('2.Distances'!E3:N227, (O92*15) + O98 + 1,10), NA())</f>
        <v>#N/A</v>
      </c>
      <c r="S97" t="e">
        <f>IF(AND(ISNUMBER(R92), ISNUMBER(R98)), INDEX('2.Distances'!E3:N227, (R92*15) + R98 + 1,9), NA())</f>
        <v>#N/A</v>
      </c>
      <c r="T97" t="e">
        <f>IF(AND(ISNUMBER(R92), ISNUMBER(R98)), INDEX('2.Distances'!E3:N227, (R92*15) + R98 + 1,10), NA())</f>
        <v>#N/A</v>
      </c>
      <c r="V97" t="e">
        <f>IF(AND(ISNUMBER(U92), ISNUMBER(U98)), INDEX('2.Distances'!E3:N227, (U92*15) + U98 + 1,9), NA())</f>
        <v>#N/A</v>
      </c>
      <c r="W97" t="e">
        <f>IF(AND(ISNUMBER(U92), ISNUMBER(U98)), INDEX('2.Distances'!E3:N227, (U92*15) + U98 + 1,10), NA())</f>
        <v>#N/A</v>
      </c>
    </row>
  </sheetData>
  <dataValidations count="1">
    <dataValidation type="list" allowBlank="1" showInputMessage="1" showErrorMessage="1" errorTitle="Warning" error="Please select a value from the list available in the selected cell." sqref="B1" xr:uid="{B9B86503-CA9B-3546-A76C-D16684673FDA}">
      <formula1>$X$1:$X$4</formula1>
    </dataValidation>
  </dataValidations>
  <pageMargins left="0.7" right="0.7" top="0.75" bottom="0.75" header="0.3" footer="0.3"/>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button id="customButton11" getLabel="GetMenuLabel" imageMso="AnimationStartDropdown" onAction="AnimateVisualizationWorksheetRibbonCall"/>
          </menu>
        </group>
        <group id="customGroup7" imageMso="AnimationStartDropdown">
          <menu id="menu7" getLabel="GetMenuLabel" imageMso="AnimationStartDropdown" size="large">
            <button id="customButton12" getLabel="GetMenuLabel" imageMso="AnimationStartDropdown" onAction="VRP_Solver_ribbon_call"/>
            <button id="customButton13" getLabel="GetMenuLabel" imageMso="AdvancedFind" onAction="FeasibilityCheckDataAndSolutionRibbonCall"/>
            <button id="customButton14" getLabel="GetMenuLabel" imageMso="TableIndexes" onAction="external_vrp_solver_ribbon_call"/>
          </menu>
        </group>
        <group id="customGroup8" imageMso="Info">
          <menu id="menu8" getLabel="GetMenuLabel" imageMso="Info" size="large">
            <button id="customButton15" getLabel="GetMenuLabel" imageMso="ContactCardSendEmail" onAction="SendFeedbackRibbonCall"/>
            <button id="customButton16" getLabel="GetMenuLabel" imageMso="MovieFromFileInsert" onAction="WatchTutorialRibbonCall"/>
            <button id="customButton17"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About</vt:lpstr>
      <vt:lpstr>VRP Solver Console</vt:lpstr>
      <vt:lpstr>MultiLanguageMenuItems</vt:lpstr>
      <vt:lpstr>MultiLanguageInterface</vt:lpstr>
      <vt:lpstr>1.Locations</vt:lpstr>
      <vt:lpstr>2.Distances</vt:lpstr>
      <vt:lpstr>3.Vehicles</vt:lpstr>
      <vt:lpstr>4.Solution</vt:lpstr>
      <vt:lpstr>5.Visualization</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윤효림</cp:lastModifiedBy>
  <dcterms:created xsi:type="dcterms:W3CDTF">2013-07-17T23:20:08Z</dcterms:created>
  <dcterms:modified xsi:type="dcterms:W3CDTF">2024-01-03T04:35:02Z</dcterms:modified>
</cp:coreProperties>
</file>